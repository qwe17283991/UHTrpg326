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空白卡" sheetId="1" r:id="rId5"/>
    <sheet state="hidden" name="缺陷 3xx" sheetId="2" r:id="rId6"/>
    <sheet state="visible" name="天賦 3xx" sheetId="3" r:id="rId7"/>
  </sheets>
  <definedNames>
    <definedName localSheetId="1" name="缺陷">'缺陷 3xx'!$B$2:$D$52</definedName>
    <definedName localSheetId="2" name="天賦">'天賦 3xx'!$B$2:$D$28</definedName>
  </definedNames>
  <calcPr fullCalcOnLoad="1"/>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4">
      <text>
        <t xml:space="preserve">一點：可以打開構造簡單的鎖或者扒一個醉鬼的錢包。
兩點：偷車不是問題，從粗心的人口袋裡掏東西也不是問題。
三點：可以解除警鈴或是增強它的性能。一般人稍不注意就被你暗算了。
四點：你可以侵入各種地方，一邊和人握手一邊取走對方的金錶。
五點：你可以卸載在五角大廈的炸彈，當然有可能是你安裝的。
主要使用者：安全警衛、警察、竊賊、間諜、系統專家。
專門領域：保險箱、電子警報系統、偷車賊、密碼鎖、扒竊、手上功夫</t>
      </text>
    </comment>
    <comment authorId="0" ref="C26">
      <text>
        <t xml:space="preserve">鎮定自若的能力，頭腦的反應速度，在壓力下或緊急情況下保持冷靜的能力。在超自然意義上，代表了人物心智的活力。
任何有意願應對外界刺激的存在都擁有沉著值。
沉著為0的人物失去行為能力和自制力，無法對任何情況作出反應。他將會處於“昏迷”狀態。</t>
      </text>
    </comment>
    <comment authorId="0" ref="BI49">
      <text>
        <t xml:space="preserve">二階本能覺醒： 
本能覺醒的第二階段意味著生物能從細胞層級控制自己的身體，最大程度的減少行動時被白白耗費的體力。</t>
      </text>
    </comment>
    <comment authorId="0" ref="CO15">
      <text>
        <t xml:space="preserve">怪癖是程度較輕的人物特徵，不是天賦也不一定屬於缺陷——只是你獨特而與眾不同的地方。例如，你十分“貪婪”，但如果你堅持只接受金幣作為報酬，這就是你的一個怪癖。 
每個怪癖可以提供給你2XP，你可選擇至多5個怪癖，由此得到額外的10XP，你可以使用本XP在建卡的時候如常購買專長或者提升技能等級，但是必須在建卡的技能分配和專長點數分配結束後購買。
當然你也可以在未來花費4XP去掉一個怪癖。
怪癖區分為生理類和精神類。這個劃分主要是提示玩家該怪癖的代表的優缺點。
如果沒有特殊說明，怪癖帶來的加減值是專長加減值。</t>
      </text>
    </comment>
    <comment authorId="0" ref="BK49">
      <text>
        <t xml:space="preserve">被動開啟：
當你一階本能覺醒開啟之後，且度過了一個冒險世界之後（包括開啟一階的那場），你在面臨相似的情況時，可以獲得一次提升本能覺醒層級的機會。你投擲一個2D10，若結果在18或18以上，則你成功的開啟了第二階的本能覺醒。
（如你在第一個冒險世界一階本能覺醒，則你只能在第二個世界之後才能進行二階本能覺醒）</t>
      </text>
    </comment>
    <comment authorId="0" ref="B84">
      <text>
        <t xml:space="preserve">能力等級：
能力擁有6個支線等級：無支線，D,C,B,A,S。雙支線等於單支線等級。S級以上的能力皆視為S級，沒有雙S或者更多S的級別能力。
如無特別說明，則視為其購買價格的等級。 
能力等級在其購買時就已經決定了，除非特殊說明，否則【不會自動升級】或者【降級】。</t>
      </text>
    </comment>
    <comment authorId="0" ref="C18">
      <text>
        <t xml:space="preserve">推拉物體、舉起重物等的相關屬性，包括了爆發力和負重能力，因此也影響奔走或揮動物體的速度、擊打時所能造成的傷害程度。
任何能夠對物體施加物理作用的存在都擁有力量值。
力量為0的人物不能移動，無法承受自身的重量也無法移動肢體。他將會倒在地上，處於“倒地”狀態，並且失去所有動作。</t>
      </text>
    </comment>
    <comment authorId="0" ref="BN49">
      <text>
        <t xml:space="preserve">主動開啟：當你已經成功通過上述方法開啟過一次二階本能覺醒後，若你處於一階本能覺醒的狀態，你便可以通過一個標準動作，並且支付1點意志力來開啟二階本能覺醒。</t>
      </text>
    </comment>
    <comment authorId="0" ref="BQ49">
      <text>
        <t xml:space="preserve">解除：解除二階本能覺醒是一個自由動作。注意你會直接解除所有本能覺醒層階，而不是從二階退回一階。</t>
      </text>
    </comment>
    <comment authorId="0" ref="B142">
      <text>
        <t xml:space="preserve">飾品（護符）：每個角色只有一個護符可以生效。</t>
      </text>
    </comment>
    <comment authorId="0" ref="B109">
      <text>
        <t xml:space="preserve">技藝/招式/法術等
大多數依靠技巧的能力都被歸於此項，儘管有時多種技藝可能提高同一能力（如某種心法能使你持續提高防禦，而某種護身勁是在受到攻擊時將能量集中來提供防禦，它們同樣提供防禦，但可能不會疊加），技藝最大的特點是，它需要人物主動使用，而非被動生效。
技藝包含招式、心法、身法、護身勁、技能、法術等等，這些可以分別啟動。
技藝一般為超自然能力，除非技藝本身具備特殊說明。 </t>
      </text>
    </comment>
    <comment authorId="0" ref="BS49">
      <text>
        <t xml:space="preserve">效果：當你處於解開二階本能覺醒狀態時，你保留一階本能覺醒的全部效果。並且你在使用意志力的基礎用法時，一階本能覺醒的效果改為獲得等於感知和智力中較高者的加值，而非較低者。
此外，你選擇一項生理屬性，在這個屬性上你獲得6點完美加值，並且該屬性的相關檢定獲得2個額外的附加成功，你可以以一個迅捷動作變更所選的屬性。
額外獎勵：只有第一次，當成功開啟二階本能覺醒時，ST應當給予玩家一次超常表現獎勵。</t>
      </text>
    </comment>
    <comment authorId="0" ref="BX49">
      <text>
        <t xml:space="preserve">持續時間：需要注意的是，開啟二階本能覺醒必須在開啟一階本能覺醒的前提下，同時解除二階本能覺醒會自動解除一階本能覺醒，所以二階沒有額外的能耗（一階每輪消耗1點意志力代為支付）。</t>
      </text>
    </comment>
    <comment authorId="0" ref="BI33">
      <text>
        <t xml:space="preserve">戰鬥速度：戰鬥速度表示角色用一次移動動作能移動多遠的距離，初始值為力量+敏捷+體積帶來的基礎速度修正，單位是米，該速度也被稱之為基礎移動速度。
</t>
      </text>
    </comment>
    <comment authorId="0" ref="CO65">
      <text>
        <t xml:space="preserve">天生防禦：
天生防禦只會加在防禦上，它意味著你的皮膚厚重、肌肉堅硬或骨骼堅不可摧。
天生防禦不會疊加。</t>
      </text>
    </comment>
    <comment authorId="0" ref="B134">
      <text>
        <t xml:space="preserve">披風：披在肩膀上的裝備，一般為魔幻本質特有，每個角色只有一個披風位。</t>
      </text>
    </comment>
    <comment authorId="0" ref="X26">
      <text>
        <t xml:space="preserve">在沉著相關的檢定上獲得n個附加成功。
意志力池提升3n。
先攻提升3n。</t>
      </text>
    </comment>
    <comment authorId="0" ref="C35">
      <text>
        <t xml:space="preserve">一點：可以隱身在陰暗的房間裡。
兩點：能利用街角的陰影跟蹤。
三點：在夜闇中尋找獵物是件容易的事。
四點：在枯葉上行走也悄然無聲。
五點：Nosferatu 氏族的長老。
主要使用者：間諜、殺手、特種部隊、狗仔隊。
專門領域：跟蹤、甩掉跟蹤、隱蔽、無聲地行動。</t>
      </text>
    </comment>
    <comment authorId="0" ref="CT65">
      <text>
        <t xml:space="preserve">盔甲防禦：
盔甲防禦只會加在防禦上，它意味著你穿著防護性的護具。
盔甲防禦不會疊加。</t>
      </text>
    </comment>
    <comment authorId="0" ref="Q142">
      <text>
        <t xml:space="preserve">概念武裝：這是一種特殊的裝備，其可能是一件裝備也可能是一個概念，當其是裝備時，同時佔用概念武裝位以及對應的裝備位，每個角色只有一個概念武裝位。
若其附加在一個裝備上時，當失去該裝備時，一同失去該概念武裝（包括擊落，破壞等），若其自身即是一個裝備時，其也會如常被破壞。</t>
      </text>
    </comment>
    <comment authorId="0" ref="X18">
      <text>
        <t xml:space="preserve">在力量相關的檢定上獲得n個附加成功。
人物的負重能力*n+1倍。
極限投擲距離以及弓箭極限射程*n+1倍。
進行力量相關的檢定時獲得nDP的完美加值。
以力量進行攻擊時，你的傷害上限提升n(n+1)/2。</t>
      </text>
    </comment>
    <comment authorId="0" ref="DA65">
      <text>
        <t xml:space="preserve">盾牌防禦：
盾牌防禦只會加在防禦上，它意味著你使用盾牌或者類似武器進行格擋。
盾牌防禦不會疊加。</t>
      </text>
    </comment>
    <comment authorId="0" ref="BI50">
      <text>
        <t xml:space="preserve">三階本能覺醒：
本能覺醒的第三階段開始從外轉內，它允許你不斷的開發自己的腦域，或者是模擬他人的思維模式。</t>
      </text>
    </comment>
    <comment authorId="0" ref="Q134">
      <text>
        <t xml:space="preserve">盔甲：盔甲一般包括上衣和褲子，除非有特殊說明，無論如何，裝備一個盔甲之後無法裝備另外一個盔甲。</t>
      </text>
    </comment>
    <comment authorId="0" ref="C19">
      <text>
        <t xml:space="preserve">全身的協調能力、動作的精確性和靈活性、反應神經等，快速有效運動身體的能力。
任何能夠活動和移動的物體都擁有敏捷值。
敏捷為0的人物不能活動，關節僵死。他將會倒在地上，處於“倒地”狀態，並且失去所有動作。</t>
      </text>
    </comment>
    <comment authorId="0" ref="BQ50">
      <text>
        <t xml:space="preserve">主動開啟：當你二階本能覺醒開啟之後，且度過了四個冒險世界（包括開啟二階的那場）之後，你可以自動開啟三階本能覺醒。
若你處於二階本能覺醒的狀態，你可以通過一個自由動作，並且支付1點意志力來開啟三階本能覺醒。</t>
      </text>
    </comment>
    <comment authorId="0" ref="BT50">
      <text>
        <t xml:space="preserve">效果：當你處於解開三階本能覺醒狀態時，你保留一、二階本能覺醒帶來的效果。此外，你可以模擬一個你熟悉的生命體的心智和社交屬性，以及任何技能等級。但是你必須為你和目標之間的每點屬性、每級技能差值支付2XP，你只能將屬性模擬到對方的數值-5的程度，技能模擬到對方的數值-4的程度。只要你曾經支付過一次經驗，你就無需為此數值之內的差值再度支付經驗，但這個經驗在你的屬性、技能和專長提升之後是不會返還的。你不能將你的屬性和技能模擬到你原本的兩倍以上。
這個熟悉的生命體一般視為與你經歷過3場冒險世界以上的人員。
當你累計為三階本能覺醒投入了42XP之後，你獲得開啟四階本能覺醒的權利。
特殊說明：
你模擬的目標屬性和你自身的起步屬性只計算起基本屬性，內在屬性和修行屬性等，簡單而言，這些屬性都必須是持續時間為永久並且不可因為某些情況改變的，屬性傷害和吸取不在此範疇內。
</t>
      </text>
    </comment>
    <comment authorId="0" ref="C44">
      <text>
        <t xml:space="preserve">一點：阿卡莎?克莉絲蒂的忠實讀者。
兩點：一般的警官。
三點：一般的私家偵探。
四點：FBI 探員。
五點：夏洛克?福爾摩斯。
主要使用者：偵探、推理小說迷、警官、變態跟蹤狂。
專門領域：法庭證據、跟蹤、探案、調查。</t>
      </text>
    </comment>
    <comment authorId="0" ref="BX50">
      <text>
        <t xml:space="preserve">持續時間：需要注意的是，開啟三階本能覺醒必須在開啟二階本能覺醒的前提下，同時解除三階本能覺醒會自動解除所有本能覺醒，所以三階沒有額外的能耗（一階每輪消耗1點意志力代為支付）。</t>
      </text>
    </comment>
    <comment authorId="0" ref="AT84">
      <text>
        <t xml:space="preserve">能力等級：
能力擁有6個支線等級：無支線，D,C,B,A,S。雙支線等於單支線等級。S級以上的能力皆視為S級，沒有雙S或者更多S的級別能力。
如無特別說明，則視為其購買價格的等級。 
能力等級在其購買時就已經決定了，除非特殊說明，否則【不會自動升級】或者【降級】。</t>
      </text>
    </comment>
    <comment authorId="0" ref="BI34">
      <text>
        <t xml:space="preserve">旅行速度：旅行速度是一種特殊能力，角色在未來可能會掌握更快的從某個地點到另外一個地點的能力。在角色未擁有特殊能力下，該速度的初始值與基礎移動速度相等。</t>
      </text>
    </comment>
    <comment authorId="0" ref="C36">
      <text>
        <t xml:space="preserve">一點：參加八公里的野外健行也不是問題。
兩點：可以在荒野中以一般速度行走。
三點：能夠分辨有毒的蕈類，可以在城市中生活而無需擔心食宿問題。
四點：荒野遊俠，沙漠探險。
五點：把你光著身子扔到海外荒島上也沒問題。
主要使用者：流浪者（果然）、士兵、獵人、童軍團、野外活動愛好者。
專門領域：蒐集食物、追蹤野獸、設陷阱、狩獵、叢林、森林探險。</t>
      </text>
    </comment>
    <comment authorId="0" ref="CO58">
      <text>
        <t xml:space="preserve">攻擊行為的作用目標為【一個目標】的時候，需要【扣除目標防禦】（無論是物理還是施法，又或者是心靈還是其他任何能力）。如果沒有指定目標，而是範圍所有的所有單位，則【不扣防禦】。
特殊：如進行力量+白刃檢定，敏捷+運動檢定此類檢定不會扣除防禦進行計算。
對範圍內所有目標分別進行攻擊不屬於範圍傷害。
對範圍內的目標分別進行攻擊，要分別對每個目標進行攻擊檢定。
當你使用類似的能力時，你依然只能對你已經進行定位的目標進行攻擊。
該攻擊本質上還是單體攻擊。
當一個行為（如近戰白刃攻擊，遠程槍械攻擊，施展法術）直接指定一個受影響的個體時，該個體被稱為該能力的目標。從某種意義上，這個目標是施展該行為的一部分，因此如果施展者不能定位目標，該行為就不能施展，如單體指向性法術，群體指向性法術，單體攻擊等。
也有一些行為不影響個體，而是影響一個區域範圍（如火球術，投擲手雷等），這種情況下，角色只需要指定範圍，即使沒有明確的對象，該行為也可以使用。若沒有特殊說明，範圍內的所有目標【皆受到影響，包括自己】</t>
      </text>
    </comment>
    <comment authorId="0" ref="X19">
      <text>
        <t xml:space="preserve">在敏捷相關的檢定上獲得n個附加成功。
獲得n點防禦附加成功。
基礎防禦增加n。
反射豁免檢定獲得n*3DP完美加值。</t>
      </text>
    </comment>
    <comment authorId="0" ref="B28">
      <text>
        <t xml:space="preserve">人物的技能定義了人物後天學習所得的，做某件具體事情的能力和技巧。
與屬性一樣，它分為三大類技能，也就是生理系技能，心智系技能，互動系技能。
生理系技能：運動、肉搏、駕駛、槍械、手上功夫、隱藏、求生、白刃
心智系技能：學識、電腦、手藝（子分類）、調查、醫學、神秘學、科學
互動系技能：動物溝通、感受、表達（子分類）、脅迫、交際、掩飾
除了技能之外，每項技能下還細分無數個“專業”，表現以特定方式使用技能。
“專業”通常也由ST和PC協商決定，在“技能概述”章節中，我們列出了一些常用專業。
當玩家在技能下擁有對應專業時，在使用該技能時，若符合該專業的用法時會獲得1DP的專業加值。若沒有特殊說明，專業加值無法讓你在不進行檢定的用法上獲益。
特殊的是：
手藝技能以及表達技能並不是一項技能，而是一類技能的統稱。手藝和表達可以有無數的技能子項，“手藝——烹飪”和“手藝——珠寶加工”顯然是兩項完全不同的技能，“表達——唱歌”以及“表達——舞蹈”明顯也不是一個，這些擁有子技能的技能在學習的時候需要根據每個子技能分別學習，且使用該技能子項的時候，默認獲得1DP專業加值。
首先，將人物的所有技能基本值設置為0。
將6點/5點/4點的點數按照這自身意願任意分別分配給生理、心智、互動三類技能（你可以將6點分配給生理系技能，也可以將這6點分配給心智系），然後將點數加在各項技能上。
然後，將5點自由點數任意加在想要提高的技能上。
另外，將一項已經加到3的技能提升到4，需要耗費2點點數，若沒有特殊說明，則無法在建卡的時候將技能突破4點。
若擁有“特殊身份1級”則技能將突破4點，將一項已經加到4的技能提升到5，也需要耗費2點點數。
另外，如同“技能概述”所述，每個到達3級和4級的技能，都可以分別免費獲得一個對應該技能的專業，同時，你還額外獲得3個專業，但是這3個專業必須放在你至少擁有1級等級的技能上。</t>
      </text>
    </comment>
    <comment authorId="0" ref="CS58">
      <text>
        <t xml:space="preserve">措手不及
措手不及是指人物沒有辦法及時做出反應。
只有突襲輪以及特殊能力才會造成措手不及不良狀態。
在措手不及的狀態下，人物將失去基礎防禦，閃避加值和格擋防禦（不會失去盾牌防禦），並且不能使用反射動作。
措手不及是一個相對狀態，在人物A，B，C三者間，可能B對A處於措手不及，但對C並無此狀態。
一般而言，每個造成措手不及狀態的能力都有說明其措手不及的持續時間，若沒有說明，則若該措手不及是由於自身原因造成的，如被突襲等，持續1輪或者到自己回合開始時結束。
若該措手不及能力是由其他目標造成的，則若為攻擊附帶能力，則持續一次攻擊，若為其他特殊能力，則持續到該目標回合結束後結束。</t>
      </text>
    </comment>
    <comment authorId="0" ref="CW58">
      <text>
        <t xml:space="preserve">全力防禦
這是一個標準動作。
你盡全力躲閃你的敵人。
你原本的基礎防禦翻倍，並且若受到的攻擊為範圍攻擊並且允許躲避，那麼用於抵消範圍傷害或者範圍效果的相關檢定結果中的所有成功數翻倍（包括自然成功數和附加成功數），持續至你的下回合開始時。
特殊：本能力與反射動作離開攻擊範圍帶來的好處無法互相疊加。
特殊說明：當你進行全力防禦時，你計算當前的基礎防禦，根據該值計算翻倍後的基礎防禦。
（如你當前基礎防禦為5，你進行全力防禦為10，然後目標的攻擊擁有高速優勢3，則你的基礎防禦為7）
（如你當前基礎防禦為5，你進行全力防禦為10，然後因不良狀態點數基礎防禦承受3點減值，則你的基礎防禦為7）</t>
      </text>
    </comment>
    <comment authorId="0" ref="C53">
      <text>
        <t xml:space="preserve">一點：和這一帶的小混混差不多。
兩點：一般的搶匪的程度。
三點：相當能幹，牙醫。
四點：你可以把關收行人的買路財。
五點：連猛獸都會對你感到畏懼。
主要使用者：軍官、行政官員、歹徒、騙子。
專門領域：拷問、脅迫、寄黑函、暴力威脅。</t>
      </text>
    </comment>
    <comment authorId="0" ref="C20">
      <text>
        <t xml:space="preserve">身體的健康程度和抵抗力、新陳代謝的活躍度等，抵擋傷病的能力。
任何活著的東西都擁有耐力值。
耐力為0的人物會直接死亡。</t>
      </text>
    </comment>
    <comment authorId="0" ref="DA58">
      <text>
        <t xml:space="preserve">肉搏格擋
這是一個移動動作。
你必須擁有對應的肢體才可以格擋（如胳膊，腿，尾巴之類）
你的防禦獲得相當於你肉搏技能等級的格擋防禦，持續至你的下回合開始時。
白刃格擋
這是一個移動動作。
你必須持有一件白刃武器才可以進行格擋。
你的防禦獲得相當於你白刃技能等級的格擋防禦，持續至你的下回合開始時。</t>
      </text>
    </comment>
    <comment authorId="0" ref="BI43">
      <text>
        <t xml:space="preserve">意志豁免：有些場合中會使用意志豁免檢定，即此項，常用於抵禦心靈影響或精神傷害，意志豁免檢定的初始DP等於決心+感受（自我保護）</t>
      </text>
    </comment>
    <comment authorId="0" ref="BQ51">
      <text>
        <t xml:space="preserve">解除：解除三階本能覺醒是一個自由動作。注意你會直接解除所有本能覺醒，而不是退回二階或者一階。</t>
      </text>
    </comment>
    <comment authorId="0" ref="B144">
      <text>
        <t xml:space="preserve">道具：特殊的裝備位，一般是可以拿出來單獨使用的，若沒有特殊說明，需要一隻保持空出一隻手來持握該道具。
武器：特殊的裝備位，若沒有特殊說明，需要一隻保持空出一隻手來持握該武器。
盾牌：特殊的裝備位，若沒有特殊說明，需要一隻保持空出一隻手來持握該盾牌。
除了武器，盾牌，戒指，盔甲，插件，可搭載的裝置，道具以外，其餘所有的裝備穿脫都需要一個標準動作。
當插件或者可搭載的裝備被脫下來後，這些裝備也被視為一起脫了下來。</t>
      </text>
    </comment>
    <comment authorId="0" ref="DE58">
      <text>
        <t xml:space="preserve">掩蔽：
尋求掩蔽是一種有效的防禦行為。
在戰鬥中，人物可以利用自己可以搬動或移動的物品架在身前，或者躲在樹木，牆壁的後面，也可以由於煙霧，雲層的效果形成掩蔽。
一方面可以用來躲藏（這種情況下一般障礙物要求比角色體型要大），一方面可以有效避免遭受攻擊，躲避遠程攻擊尤其有效。
當然人物也可以自己搬動或拾取物品架在身前，形成掩蔽（拾取物品是一個移動動作）。若人物可以拿動掩蔽物，且他在這一輪中還可以進行移動（例如某種使用迅捷動作移動的能力，或利用標準動作移動），他可以在掩蔽的情況下帶著物品移動。 
特殊：當目標擁有繞過全掩蔽定位你和攻擊你的能力，則不視為你全掩蔽。如範圍攻擊，或者雷達定位配合【貫穿】攻擊，在擊破你的掩蔽物後會對你造成傷害。
掩蔽分為部分掩蔽和全掩蔽狀態。
兩個目標所處格子的任意一點進行連線，若有障礙物，則視為部分掩蔽。若找不到沒有障礙物的兩點連線，則視為全掩蔽。
所以一般情況下，掩蔽都具備方向性，也就是隻針對某一方向具備掩蔽。
處於部分掩蔽下，則針對雙方的單體攻擊時，自身獲得4點掩蔽防禦。
處於全掩蔽下，則雙方無法進行攻擊，稱之為沒有視野線和效果線。</t>
      </text>
    </comment>
    <comment authorId="0" ref="B111">
      <text>
        <t xml:space="preserve">手錶插件——書籤
本質：特異本質
價格：200分
分類：手錶插件
效果：購買本插件後，你將獲得一頁技能倉庫。
你可以往技能倉庫裡面任意儲存支線和分數，然後在技能倉庫裡面進行整備資源。
每次短休結束後，你可以重新使用倉庫中的支線和分數購買倉庫裡的資源。
倉庫中只能儲存技能，法術，招式等所有處於技能樹或者施法表或者單獨技藝中需要主動開啟的能力。血統，改造，稱號，流派，修煉體系等主幹中的主動開啟能力無法被儲存。
每一頁只能儲存一個技能，並且無法改變。
書籤在有需求時也可以進行快速整備，但是當你如此做時，你需要支付一個完整的回合和（你準備進行更換的技能數量+本場冒險世界下已進行快速整備的次數）*1點意志力。</t>
      </text>
    </comment>
    <comment authorId="0" ref="Y3">
      <text>
        <t xml:space="preserve">人物的生命值，其為0到其生命值上限的任何數值。
生物的每1點生命值有4種傷勢狀態，分別是“完好”，“衝擊傷害（簡寫為B）”，“嚴重傷害（簡寫為L）”，“惡性傷害（簡寫為A）”。
隨著一個生物受傷和接受治療，其生命值狀態也會出現頻繁的波動。
若沒有特殊說明，當一個生物生命值的全部轉為惡性傷害時，該生物死亡。</t>
      </text>
    </comment>
    <comment authorId="0" ref="C45">
      <text>
        <t xml:space="preserve">一點：接受過急救措施的講習。
兩點：像是醫學院的學生或是護士。
三點：一般醫師的程度。
四點：可以進行器官移植手術。
五點：現代的華陀、扁鵲再世。
主要使用者：醫學院學生、醫師、急救員、護士。
專門領域：內臟移植、急救、毒藥、病理學、整形。</t>
      </text>
    </comment>
    <comment authorId="0" ref="BI35">
      <text>
        <t xml:space="preserve">先攻：用於決定戰鬥中的行動順序，初始值為敏捷+沉著。
</t>
      </text>
    </comment>
    <comment authorId="0" ref="CO67">
      <text>
        <t xml:space="preserve">力場加值：
力場防禦一般加在防禦或某種檢定上，它意味著有一個力場效果正在輔助你的某一方面。
力場加值不會疊加。
力場加值可以從任何途徑獲得，所以獲得該加值時，需要支付額外特性。</t>
      </text>
    </comment>
    <comment authorId="0" ref="H78">
      <text>
        <t xml:space="preserve">血統
模板之一，無論如何，角色只能獲得一個血統。
血統是一種來自傳承的力量，只要擁有某種血統，無論其天賦如何，是否經過後天努力，其基本特性都很難有所變化。
所有兌換了血統的單位在判定上都視為超自然生物，除非血統本身有說明。</t>
      </text>
    </comment>
    <comment authorId="0" ref="B136">
      <text>
        <t xml:space="preserve">護腕（護臂）：帶在上臂的裝備，一般為魔幻本質特有，每個角色只有一個護腕位。</t>
      </text>
    </comment>
    <comment authorId="0" ref="C37">
      <text>
        <t xml:space="preserve">一點：你知道短刀的正確握法。
兩點：對你來說街頭打架是家常便飯。
三點：你可以組成大學的擊劍代表隊。
四點：你的劍術連殿下也想招聘你來效力。
五點：敵人寧願遭遇特種部隊也不想面對你。
主要使用者：武道家、暗殺者、小混混、中世紀吸血鬼。
專門領域：劍、棍棒、斧頭、連枷、流星錘等等。
</t>
      </text>
    </comment>
    <comment authorId="0" ref="CT67">
      <text>
        <t xml:space="preserve">偏斜加值：
偏斜防禦一般加在攻擊，防禦和對抗範圍效果的檢定上，它意味著攻擊或敵意物質會部分地與你的身體錯開，這有可能是因為你的身體並不在它看起來的位置，也可能是空間扭曲。
偏斜加值不會疊加。
偏斜加值可以從任何途徑獲得，所以獲得該加值時，需要支付額外特性。</t>
      </text>
    </comment>
    <comment authorId="0" ref="AJ3">
      <text>
        <t xml:space="preserve">當人物受到傷害時，先減少對應的完好生命值，然後將當前所受傷害加在之前的所受的對應傷害上。
然後將當前所有的傷害相加（所受衝擊傷害+所受嚴重傷害+所受惡性傷害）是否大於目標的生命值上限：
若小於，則意味著目標還有完好生命值。
若等於，則意味著目標沒有完好生命值了，但是無需轉化傷勢。
若大於，則意味著目標不僅沒有完好生命值，且需要轉化傷勢。
此時按照2點衝擊傷害：1點嚴重傷害，2點嚴重傷害：1點惡性傷害向下轉換。
直至所有的傷害相加等於目標的生命值上限為止。
當人物轉化結束後，若其生命值狀態全部為惡性傷害，則總和等於或大於生命值上限，則人物死亡。
當人物同時受到多種不同程度的傷害時，從程度最低的開始計算。</t>
      </text>
    </comment>
    <comment authorId="0" ref="O78">
      <text>
        <t xml:space="preserve">改造
模板之一，無論如何，角色只能獲得一個改造。
改造的力量源於形體外在或內在的轉化，個人的天賦與努力對其基本特性沒有太大影響。
所有兌換了改造的單位在判定上都視為超自然生物，除非改造本身有說明。</t>
      </text>
    </comment>
    <comment authorId="0" ref="Q144">
      <text>
        <t xml:space="preserve">道具：特殊的裝備位，一般是可以拿出來單獨使用的，若沒有特殊說明，需要一隻保持空出一隻手來持握該道具。
武器：特殊的裝備位，若沒有特殊說明，需要一隻保持空出一隻手來持握該武器。
盾牌：特殊的裝備位，若沒有特殊說明，需要一隻保持空出一隻手來持握該盾牌。
除了武器，盾牌，戒指，盔甲，插件，可搭載的裝置，道具以外，其餘所有的裝備穿脫都需要一個標準動作。
當插件或者可搭載的裝備被脫下來後，這些裝備也被視為一起脫了下來。</t>
      </text>
    </comment>
    <comment authorId="0" ref="AM36">
      <text>
        <t xml:space="preserve">本技能可以幫助角色得知敵人的信息。
動作：一般情況下，知識檢定無需動作。
使用：角色可以在戰鬥中通過學識技能來辨識敵人的大致信息。
若如此做，DC等於敵人支線等級的平方（D1,C2,B3,A4,S5,SS6）
PC檢定成功時，獲取第一個信息。
檢定成功數每多出一倍DC，則可以獲取下一個信息。
敵人信息獲取順序如下：
1.【概念段】包括體型、先攻、觸及、戰鬥速度、描述等
2.【屬性段】
3.【技能段】
4.【攻擊能力段】&amp;【防禦能力段】
5.【特殊能力段】
如：C級怪物，檢定成功數為10，則基礎DC為4，多出來6點，也就是可以再得知3個信息。
注：並非所有敵人都有信息，普通怪物很可能省略屬性段和技能段。</t>
      </text>
    </comment>
    <comment authorId="0" ref="X20">
      <text>
        <t xml:space="preserve">在耐力相關的檢定上獲得n個附加成功。
生命值額外增加n(n+1)/2點。
角色可以2^(n-1)周不吃不喝不睡。
閉氣時間2^n倍。
強韌豁免檢定獲得n*3DP完美加值。</t>
      </text>
    </comment>
    <comment authorId="0" ref="CY67">
      <text>
        <t xml:space="preserve">洞察加值：
洞察加值一般加在防禦或某種檢定上，它意味著你擁有卓越的觀察力，可以看透困難之所在並加以避免。
洞察加值不會疊加，但是洞察減值可以無限疊加。
洞察加值一般由瞳術帶來。</t>
      </text>
    </comment>
    <comment authorId="0" ref="BS2">
      <text>
        <t xml:space="preserve">缺陷點數
如果你的缺陷可以重複或逐級獲取，請分開登記。</t>
      </text>
    </comment>
    <comment authorId="0" ref="BU2">
      <text>
        <t xml:space="preserve">你可以在建立人物卡時選擇一些缺陷，以此來讓你的人物更加栩栩如生。
每個缺陷會提供如同其等級的缺陷點數。為了直觀感受，缺陷的等級用負數來表示，但在考慮缺陷點數時，用正數來理解。
每2個缺陷點數可以兌換1個天賦點數，你可以使用這個天賦點數去獲得天賦，規則如同專長一般。
-1級的缺陷獲得1點缺陷點數，-2級的缺陷獲得2點缺陷點數，-1~-2級的缺陷獲得3點缺陷點數。
注：所有缺陷無法通過讓輪迴之境修復身體或肢體來進行消除，有些可以自行消除的缺陷會自行說明。</t>
      </text>
    </comment>
    <comment authorId="0" ref="V78">
      <text>
        <t xml:space="preserve">瞳術
模板之一，若沒有特殊說明，角色只能獲得一個瞳術。
瞳術是一種特殊的能力，可以理解為針對眼球進行的改造。
所有兌換了瞳術的單位在判定上都視為超自然生物，除非瞳術本身有說明。</t>
      </text>
    </comment>
    <comment authorId="0" ref="BI52">
      <text>
        <t xml:space="preserve">四階本能覺醒：
本能覺醒的第四階段開始是真正開始向天地大道進發，開始可以精確的對能量進行控制和操控，並調整自己的基因，從而使自己面對任何情況。</t>
      </text>
    </comment>
    <comment authorId="0" ref="Q136">
      <text>
        <t xml:space="preserve">手套：戴在手上的裝備，每個角色只有一個手套位。</t>
      </text>
    </comment>
    <comment authorId="0" ref="AT3">
      <text>
        <t xml:space="preserve">當人物因傷勢過重而昏迷時，可以花費1點意志力使昏迷延後。
若為戰鬥時，則每1點意志力可以使人物繼續行動1輪，每輪結束時決定是否花費該意志力，若不花費，則該輪結束後立即昏迷。
若為非戰鬥時，則每1點意志力可以使人物繼續行動1分鐘。
在持續時間內，人物不會因為傷勢過重而昏迷。
除非有特殊說明，否則人物無法在進行週期性（行為）檢定時，使用意志力。
需要注意的是，人物只有在保有自我意識的情況下可以使用意志力。換言之，處於睡眠、昏迷等類似不良狀態時，無法使用意志力。</t>
      </text>
    </comment>
    <comment authorId="0" ref="BK52">
      <text>
        <t xml:space="preserve">被動開啟：當你累計為三階本能覺醒投入了42XP之後，則你上文所述的危急關頭，可以獲得一次提升本能覺醒層級的機會。你投擲一個4D10，若結果在36或36以上，則你成功開啟了四階本能覺醒。</t>
      </text>
    </comment>
    <comment authorId="0" ref="C54">
      <text>
        <t xml:space="preserve">一點：你知道什麼時機該閉嘴。
兩點：你參加過一、兩次正式的晚宴。
三點：你可以在眾人沒發現的時候偷走銀餐具。
四點：女王陛下也發現你魅力迷人。
五點：要使你能邀集到相關人士赴宴，甚至能左右停戰或開戰。
主要使用者：外交官、上流階級、貴族、高級官員。
專門領域：晚宴、商務會談、各地文化、血族社會。</t>
      </text>
    </comment>
    <comment authorId="0" ref="C21">
      <text>
        <t xml:space="preserve">邏輯思維的能力、自主意識，自主行動能力，計算能力、分析能力和記憶力等，有時也代表了人物對超自然能量的分配和控制。
任何能夠以一套行為邏輯進行行動的存在都擁有智力值。
智力為0的人物失去自主行動能力。他將會處於“昏迷”狀態。</t>
      </text>
    </comment>
    <comment authorId="0" ref="BN52">
      <text>
        <t xml:space="preserve">主動開啟：若你處於三階本能覺醒的狀態，你可以通過一個迅捷動作，並且支付1點意志力來開啟四階本能覺醒。</t>
      </text>
    </comment>
    <comment authorId="0" ref="AC78">
      <text>
        <t xml:space="preserve">修煉體系
模板之一，若沒有特殊說明，角色只能獲得一個修煉體系。
修煉體系包括東方的修真功法和西方的一些修煉方式。
為了防止爆體而亡，每個人只能修習一種修煉方式。修煉一般會為人物帶來各種被動效果，並且可以在各種程度上增幅人物的能力。
所有兌換了修煉體系的單位在判定上都視為超自然生物，除非該修煉體系本身有說明。</t>
      </text>
    </comment>
    <comment authorId="0" ref="BI44">
      <text>
        <t xml:space="preserve">反射豁免：有些場合中會使用反射豁免檢定，即此項，常用於迴避範圍攻擊，反射豁免檢定的初始DP等於敏捷+運動（自我保護）。</t>
      </text>
    </comment>
    <comment authorId="0" ref="BQ52">
      <text>
        <t xml:space="preserve">解除：你可以用一個自由動作解除全部本能覺醒。你不可以從某個高階本能覺醒退回某個低階本能覺醒狀態。</t>
      </text>
    </comment>
    <comment authorId="0" ref="BB3">
      <text>
        <t xml:space="preserve">每進行一次至少1小時的短休息（不能做其他行動），恢復1點意志力。
每進行至少8小時的長休息（不進行任何行動，而是用於睡眠之類），人物可以投擲1D10，這不是一次檢定，恢復該投骰結果+傳奇決心+傳奇沉著/點意志力。</t>
      </text>
    </comment>
    <comment authorId="0" ref="BS52">
      <text>
        <t xml:space="preserve">效果：當你處於解開四階本能覺醒狀態時，你保留一、二、三階本能覺醒帶來的效果。在此之外，你獲得如下兩種能力：
自身基因控制：你可以以一個自由動作，消耗X點意志力，或者調整自己的屬性值，選擇一個屬性獲得X點完美加值，另一個屬性受到X點完美減值。
你只能使用本方法調整自己屬性中基本屬性，你最多使一個屬性獲得的完美加值不能超過其原本的基本屬性（如原本的基本屬性為6，則最多再獲得6點），你使另外一個屬性受到的減值，最多不能超過其基本屬性的一半（如原本的基本屬性為6，則最多降低為3點）。
入微：這個能力體現在對能量的控制上，大致同樣有兩種用法，控制自己的能量和引導他人的能量。
當你使用消耗能量的能力時，若該能力可以增幅，每增幅1點能量視為2點能量，但仍然只佔用1點增幅上限。
當有人對你使用消耗能量的能力時，你自動得知他所使用的能量以及消耗數量，如果他所使用的能力投入了基本消耗外的額外能量增幅，該額外增幅的部分對你無效。</t>
      </text>
    </comment>
    <comment authorId="0" ref="C46">
      <text>
        <t xml:space="preserve">一點：讀過幾本相關的書。
兩點：在你的知識中也包括讓人震驚不已的事實。
三點：擁有大量的知識，甚至親身目擊過。
四點：能夠看穿虛妄、並且推理出真實。
五點：你和惡魔打過交道。
主要使用者：迷信很深的人、算命師、神秘學家、Tremere 氏族。
專門領域：血族知識、儀式、惡魔崇拜、女巫。</t>
      </text>
    </comment>
    <comment authorId="0" ref="N153">
      <text>
        <t xml:space="preserve">由於函數的辨認方式問題，請將獲得的支線與失去的支線分開紀錄，以使函數得以正確識別。</t>
      </text>
    </comment>
    <comment authorId="0" ref="AJ78">
      <text>
        <t xml:space="preserve">典籍
模板之一，若沒有特殊說明，角色只能獲得一本典籍。
在東西方世界中，修煉各種奇妙的功法都需要一本魔法書或者武功秘籍。
而有一部分典籍經過長年累月的積累，它們甦醒了自己的意識，覺醒了自己的力量。而每個典籍的性格又各不相同，他們會互相排斥。
所有兌換了典籍的單位在判定上都視為超自然生物，除非典籍本身有說明。</t>
      </text>
    </comment>
    <comment authorId="0" ref="BX52">
      <text>
        <t xml:space="preserve">持續時間：需要注意的是，開啟四階本能覺醒必須在開啟三階本能覺醒的前提下，同時解除三階本能覺醒會自動解除所有本能覺醒，所以四階沒有額外的能耗（一階每輪消耗1點意志力代為支付）。</t>
      </text>
    </comment>
    <comment authorId="0" ref="BI36">
      <text>
        <t xml:space="preserve">基礎防禦：用於決定人物的防禦值，初始值為敏捷和感知中較低者。基礎防禦是可以與其他能力帶來的基礎防禦疊加的。
</t>
      </text>
    </comment>
    <comment authorId="0" ref="BJ3">
      <text>
        <t xml:space="preserve">意志力的基本用法：
人物在進行一個行動時（無論回合外還是回合內），若該行動不是週期性行為且只需一次檢定（包括並不限於攻擊、技能判定、對抗、防禦等）可以無需任何動作直接支付1點意志力，在該行動上獲得3DP的完美加值，這種用法對一次行動只能使用一次。
或者人物在受到攻擊時，可以支付1點意志力，針對該次攻擊人物在防禦上獲得3點完美加值。
有些能力可以增加意志力的基本用法帶來的加值。</t>
      </text>
    </comment>
    <comment authorId="0" ref="CO2">
      <text>
        <t xml:space="preserve">可用的天賦點數</t>
      </text>
    </comment>
    <comment authorId="0" ref="B38">
      <text>
        <t xml:space="preserve">心智系技能：心智系技能是純粹的知識和技巧，如果心智技能為0，你無法進行對應的檢定，視為檢定結果自動失敗。</t>
      </text>
    </comment>
    <comment authorId="0" ref="CQ2">
      <text>
        <t xml:space="preserve">不同於一般的凡人，你可能擁有一些很特別的才能。
天賦是通過的缺陷獲得的，每2個缺陷點數可以兌換1個天賦點數，你可以使用這個天賦點數去獲得天賦，規則如同專長一般。</t>
      </text>
    </comment>
    <comment authorId="0" ref="C38">
      <text>
        <t xml:space="preserve">一點：1066 這個數字對你而言不止代表比佛利山的郵政編碼。
兩點：具備基礎的知識，至少不會分不清明朝和蒙古。
三點：偶爾會在相關刊物刊載你寫的文章。
四點：大概算是大學的名譽教授吧。
五點：在這個領域中世界的最高權威。
主要使用者：大學教授、研究家、知識分子、血族長老。
專門領域：請自定義，如羅馬帝國、美國歷史、寫實主義等。</t>
      </text>
    </comment>
    <comment authorId="0" ref="AT78">
      <text>
        <t xml:space="preserve">稱號與流派
稱號與流派是一種經過系統的訓練而能掌握的技能體系，只要能夠完成同樣的訓練，其收穫也應當相同，如果沒有特殊說明，一般不具備排他性。稱號與流派的技能是一系列獨特的能力技能樹，附帶一些專有的技藝技巧，它的撰寫規範通常和普通的能力相近，但自成系統，可以不斷地成長。
同一個稱號和流派無法反覆購買，這也包括在同一個總綱下的分支，若已經購買了其中一個分支，則無法購買另外的分支。</t>
      </text>
    </comment>
    <comment authorId="0" ref="Z153">
      <text>
        <t xml:space="preserve">由於函數的辨認方式問題，請將獲得的支線與失去的支線分開紀錄，以使函數得以正確識別。</t>
      </text>
    </comment>
    <comment authorId="0" ref="X21">
      <text>
        <t xml:space="preserve">在智力相關的檢定上獲得n個附加成功。
在每次影片結束結算經驗時，你根據本場恐怖片中你最低的傳奇智力數獲得額外的4*n點經驗紅利，任何情況下，紅利無法產生紅利。</t>
      </text>
    </comment>
    <comment authorId="0" ref="B30">
      <text>
        <t xml:space="preserve">生理系技能：生理系技能不完全是純粹的技巧，許多技巧即使沒有知識，單靠自身的素質也可以進行嘗試，如果生理技能為0，你仍然可以嘗試進行檢定，但是會失去一個自然成功數。</t>
      </text>
    </comment>
    <comment authorId="0" ref="C30">
      <text>
        <t xml:space="preserve">一點：小時候還蠻活潑。
兩點：高中時待過運動社團。
三點：專業運動員。
四點：一流的優秀選手。
五點：奧運金牌得主。
主要使用者：體操選手、運動嗜好者、各種運動員等。
專門領域：游泳、跳舞、登山、特技、長跑、各種運動。</t>
      </text>
    </comment>
    <comment authorId="0" ref="BI53">
      <text>
        <t xml:space="preserve">五階本能覺醒： 
本能覺醒第五階能力是控制能量，即所謂大道層次，人物獲得“聖位”。
本質上，聖位是有限的，生物只有在劇情中獲得聖位才行，也就是獲得相應的神域或道，最簡單直接的方式就是弒神或者擊殺其他五階強者，通過神格吸收那個神的神域。
注意，雖然有許多能力提供神格讓你能夠容納聖位，但沒有五階本能覺醒，即便你擁有極高的神格也不會開啟第五階，因為你對這樣的力量空能運用卻缺乏理解。</t>
      </text>
    </comment>
    <comment authorId="0" ref="BK53">
      <text>
        <t xml:space="preserve">主動開啟：四階本能覺醒開啟之後，且度過了兩個冒險世界（包括開啟四階的那場）之後，你可以選擇挑戰心魔。當你戰勝自己的心魔之後，你可以跨入5階本能覺醒。
每場冒險世界，你只能挑戰一次心魔。
挑戰心魔時你進入你自身的心靈幻境中，但外界時間同步流逝，你在幻境中經過多久時間，外界也會經過同樣的時間，在戰鬥中觸發會是極端危險的狀況，此時針對外界而言，你無法控制你的角色，但是你可以依本能行動。
這種兇險的形式對各人表現不一，通常心魔本身和度過的方法聯繫人物的扮演，個性與背景。具體的表現形式和通過判斷由ST掌握。ST可以為角色設計獨立故事，源於其故事中的經歷或背景設定，也可以簡單的複製角色自身（甚至加強一部分），與其進行對戰。</t>
      </text>
    </comment>
    <comment authorId="0" ref="CE168">
      <text>
        <t xml:space="preserve">自學規則：
有些時候，規則或者資源允許你“通過自己的鑽研來領悟”某些能力，即，不支付支線與獎勵點數，而是通過消耗XP來學習一些能力。這被稱作自學規則。
自學規則可以購買的內容包括：
稱號主幹及其技能樹中的技能；
流派主幹及其技能樹中的技能：
血統技能樹中的技能；
改造技能樹中的技能；
瞳術技能樹中的技能；
魔導書的專屬技能：
修煉體系中需要花費經驗的部分及其技能樹的技能；
技能自身的研發；
已經可以學習的通用技能（如通用法術）；
還有一些其他的能力（看對應能力的詳細說明）。
使用經驗無法學些模板能力本身（無法購買高級血統，但是依舊可以購買血統技能）或物品（由於魔導書的特殊性，也無法自創）。
對於一個自己已經擁有的技能，你可以自學其在同一技能樹中的後繼技能或子技能（例如在已有D級能量射擊技能時修煉一個同級技巧）。</t>
      </text>
    </comment>
    <comment authorId="0" ref="CA3">
      <text>
        <t xml:space="preserve">生理類：這類缺陷和天賦基於你的生理因素產生效果。如果你擁有奪舍或類似的可以換一具身體的能力，或者元神離體等可以不使用舊身體的能力，那麼你在新的身體裡不再受到生理類缺陷和生理類天賦的影響。如果你還能回到舊身體，那麼你還要被舊身體中的生理類缺陷和生理類天賦影響。
精神類：這類缺陷和天賦基於你的精神狀況產生效果。如果你擁有切換人格或類似的能力，那麼你在換到新人格時，舊人格的精神類缺陷和精神類天賦不能被繼承，直到你換回舊人格。
特異類：這類缺陷和天賦的生效機制根本無法被解釋。可以確信的是，擺脫這類缺陷和天賦的方法是死亡，有時候也許死亡都無法解除他們。
如果沒有特殊說明，缺陷與天賦帶來的都是專長加值與專長減值，並且減值都可以疊加。</t>
      </text>
    </comment>
    <comment authorId="0" ref="C55">
      <text>
        <t xml:space="preserve">一點：你會撒點無傷大雅的小謊言
兩點：一般的吸血鬼程度。
三點：邪惡的律師。
四點：一流的諜報員。
五點：你一定是最後一個被懷疑的。
主要使用者：政治家、律師、詐欺犯等。
專門領域：誘惑、慫恿、偽善、巧妙撒謊。</t>
      </text>
    </comment>
    <comment authorId="0" ref="C22">
      <text>
        <t xml:space="preserve">留意環境並查覺變化的能力，洞察力、直覺、快速分辨細節的能力。這一屬性代表人物的注意力和對信息的分辨能力，因此近視眼不一定感知就低。
任何能夠感知外界的存在都擁有感知值。
感知為0的人物失去對現實的感應，陷入無法醒來的迷夢。他將會處於“昏迷”狀態。</t>
      </text>
    </comment>
    <comment authorId="0" ref="BI45">
      <text>
        <t xml:space="preserve">強韌豁免：有些場合中會使用強韌豁免檢定，即此項，常用於抵抗生理影響，強韌豁免檢定的初始DP等於耐力+求生（自我保護）。
</t>
      </text>
    </comment>
    <comment authorId="0" ref="BQ53">
      <text>
        <t xml:space="preserve">效果：5階本能覺醒獲得是兩個被動的強化效果：
你獲得一項價格為A+8000以下的技能，招式，技藝，從全書中選擇。
你選擇的能力若需要能耗，則改為消耗等額的意志力。
你不能選擇你不滿足前提的能力，如屬性要求，生物類型要求等。
你選擇的能力若為法術，則現在其改為非法術能力，但是應用的檢定和上限不會獲得變化，並且依然保留姿勢和語言，書本以及威力值，關鍵字等法師相關的要求，這意味著如果你不滿足該要求，則無法使用。
若該能力的前提在原本能力的主幹中（比如主幹說明，比如先買A再買B）則也無法獲得。
需要注意的是，本技能，招式，技藝只能在四階本能覺醒下才能使用。
你獲得0級超凡神聖。
神格升級：當你擊殺其他五階強者或者擊敗其他神明時，可以提升等級。
你提升對應等級需要擊殺或者擊敗目標等級對應數量等級的強者。（如從0級到1級需要擊殺1個，從1級到2級需要擊殺2個，從2級到3級需要擊殺3個）</t>
      </text>
    </comment>
    <comment authorId="0" ref="B146">
      <text>
        <t xml:space="preserve">手錶增強組件
每個人進入這個世界的時候，都會戴上一塊由黑色的金屬製成，樣式古樸純粹的手錶，本手錶的數據為“輪迴隊員手錶”。一般情況下，它會顯示各種數據信息，比如任務信息，新人數目等等。但你可以花費支線和分數來擴展它的能力。
由於手錶是特殊的輪迴之境物品，所以其不佔用任何裝備位。
手錶插件沒有上限。</t>
      </text>
    </comment>
    <comment authorId="0" ref="B113">
      <text>
        <t xml:space="preserve">例1：你在倉庫中存儲了B+4000分，倉庫中存有3個D+500的技能，3個C+1000的技能，3個B+2000的技能。一次短休結束後，你可以重新配置B+4000分，如獲得3個C+1000的技能，剩餘1000分，無法再次獲得技能，也可以選擇2個C+1000的技能，然後2個D+500的技能，任意組合。
例2：你購買了2個書頁，然後指定2個技能A和B，將技能A和B儲存了進去，這時你還想指定技能C，但是技能C無法替換A或者B被儲存進去，若要儲存進去則必須再購買一頁。
例3：你在倉庫中存儲了BB+10000分，倉庫中存有3個D+500的技能（分別稱之為A、B、C），3個C+1000的技能（分別稱之為D、E、F），3個B+2000的技能（分別稱之為G、H、I）。你原本身上攜帶的是技能G和技能D、E、F，因為戰鬥所需，你將攜帶的技能配置變為了技能G、H，因為你身上攜帶的技能變動數達到4個（你獲得1個新技能，並且將3箇舊技能存放進了書籤），並且這是本次冒險世界下第2次進行快速整備，因此你需要支付（4+2）/點意志力和一個完整的回合。</t>
      </text>
    </comment>
    <comment authorId="0" ref="C47">
      <text>
        <t xml:space="preserve">一點：你大概具有高中生的基本程度。
兩點：你對主要的相關理論非常熟悉。
三點：你可以教高中化學課。
四點：你是相關領域的先進。
五點：諾貝爾獎的下屆得主。
主要使用者：科學家、學生、研究者、教師、工程師。
專門領域：物理、化學、生物、地質、天文學。</t>
      </text>
    </comment>
    <comment authorId="0" ref="CP168">
      <text>
        <t xml:space="preserve">普通專長：這些專長代表的是普通人即可學習，相對比較簡單。
要學習一個普通專長，必須為普通專長所需的每個專長等級投入3點XP，若一個普通專長擁有多個等級，你必須為每一等級單獨學習，並且必須按順序學習。
因此，一個具有1-5級的專長，一共需要3+6+9+12+15=45XP來完全掌握。
若一個專長直接以高等級開始，則可以直接花費對應等級的XP即可獲得。
因此，一個具有2-3級的專長，一共需要6+9=15XP來掌握。
輪迴之境專長：該專長包括非凡的才能，比如超魔專長等等，一般情況下，其前提條件都包括一些非凡的要求。
要學習一個輪迴之境專長，必須為輪迴之境專長所需的每個專長等級投入6點XP，若一個普通專長擁有多個等級，你必須為每一等級單獨學習，並且必須按順序學習。
因此，一個具有1-5級的專長，一共需要6+12+18+24+30=90XP來完全掌握。
若一個專長直接以高等級開始，則可以直接花費對應等級的XP即可獲得。
因此，一個具有2-3級的專長，一共需要12+18=30XP來掌握。</t>
      </text>
    </comment>
    <comment authorId="0" ref="AB5">
      <text>
        <t xml:space="preserve">自然恢復：
角色們就算超凡入聖，也是需要一定休息的。
角色需要花時間吃東西，睡覺，護理傷勢，回覆能量，為未來的戰鬥做準備。
角色以及任何生物可以在24小時之內任何時間進行短休，並且不算次數。
角色以及任何生物只能在24小時內進行一次長休。
短休：
短休是一段短暫的休整時刻。需要至少1個小時的時間，角色們在這期間進行飲食，吃飯，休息，打坐，冥想，聊天等活動。
如果休息過程中被打擾（如進入戰鬥，高強度的移動等）則休息被打斷，角色必須重新開始休息才能獲得短休的效果。
每進行一次至少1小時的短休息（不能做其他行動），可以將全部狀態為B的生命值恢復為完好。
每進行一次至少1小時的短休息（不能做其他行動），可以選擇自己擁有的一種不良狀態點數，獲得一次豁免的機會。
每進行一次至少1小時的短休息（不能做其他行動），恢復1點意志力。
若你擁有一個自然恢復速度翻倍的能力，則休息時間減短為半小時。
若你擁有多個自然恢復速度翻倍的能力，則休息時間改為15分鐘。
長休：
長休是一段更為舒適的休整時刻。需要至少 8 個小時的時間，角色在這期間進行睡眠，飲食，聊天，打坐，冥想，放哨，修整，聊天等。
如果休息過程中被打擾（如進入戰鬥，高強度的移動等）則休息被打斷，角色必須重新開始休息才能獲得長休的效果。
每進行一次至少8小時的長休息（不能做其他行動，而是用於睡眠之類）），可以將全部狀態為L的生命值恢復為完好，或者將全部狀態為A的生命值轉化為L。
每進行至少8小時的長休息（不進行任何行動，而是用於睡眠之類），人物可以投擲1D10，這不是一次檢定，恢復該投骰結果+傳奇決心+傳奇沉著/點意志力。
每連續進行至少8小時的長休息（不進行任何行動，而是用於睡眠之類），可以恢復1點屬性傷害。
每連續進行至少8小時的長休息（不進行任何行動，而是用於睡眠之類），可以針對自己擁有的所有不良狀態點數，獲得一次豁免的機會。
若你擁有一個自然恢復速度翻倍的能力，則休息時間簡短為4小時。
若你擁有多個自然恢復速度翻倍的能力，則休息時間改為2小時。
一些藥物，醫療或者超自然能力可以加快回復的速度，或立即恢復一些生命值。
這些效果與短休或者長休的效果疊加。</t>
      </text>
    </comment>
    <comment authorId="0" ref="BX53">
      <text>
        <t xml:space="preserve">本級別效果為被動，所以沒有持續時間。</t>
      </text>
    </comment>
    <comment authorId="0" ref="BI37">
      <text>
        <t xml:space="preserve">生命值：生命值代表角色的生命力，角色受傷會使自身的生命值向不良的情況轉化，具體的內容請看“生命章節”，生命值的大小為耐力+體型帶來的生命值調整。</t>
      </text>
    </comment>
    <comment authorId="0" ref="CO69">
      <text>
        <t xml:space="preserve">掩蔽防禦：
掩蔽加值可能會加在防禦和對抗範圍效果的檢定上，當然其必須單獨說明是加在防禦還是對抗範圍效果上，若沒有特殊說明，則一般是指防禦，它意味著某些物品擋在你與危險之間。
掩蔽防禦不會疊加。</t>
      </text>
    </comment>
    <comment authorId="0" ref="B138">
      <text>
        <t xml:space="preserve">腰帶：戴在腰間的裝備，每個角色只有一個腰帶位。</t>
      </text>
    </comment>
    <comment authorId="0" ref="AX153">
      <text>
        <t xml:space="preserve">由於函數的辨認方式問題，請將獲得的支線與失去的支線分開紀錄，以使函數得以正確識別。</t>
      </text>
    </comment>
    <comment authorId="0" ref="C39">
      <text>
        <t xml:space="preserve">一點：嗯，你會用滑鼠。
兩點：可以重整簡易的數據。
三點：會自己寫作軟件程序。
四點：可以寫出極為便利、好用的系統。
五點：你站在科技時代的最先端。
主要使用者：黑客、上班族、程序設計師、學生。
專門領域：計算機語言、因特網、病毒、解析密碼</t>
      </text>
    </comment>
    <comment authorId="0" ref="AJ5">
      <text>
        <t xml:space="preserve">能量池
能量是一種運用和獲得力量的方式。如果沒有特殊描述，能量池不具備排它性。
每種能量在獲得時，都會同時獲得它的運作機制（包括使用何者作為關鍵屬性，如何恢復、補充、有否有基本用法等等）。
如果沒有特殊說明，其他能力不會干涉這種運作機制，而是作為這種運作機制的補充。
如：短休可以恢復魔力，若你擁有自然恢復減半的能力，則你恢復魔力的時間也會減半。
所有的能量都是超自然能力，除非有特殊說明。</t>
      </text>
    </comment>
    <comment authorId="0" ref="B130">
      <text>
        <t xml:space="preserve">人物裝備位
輪迴之境提供了便利和強大的道具，使人堅不可摧、日行千里、騰雲駕霧。但是，沒有人可以把所有好東西都用在自己身上。一個人身上所能使用的物品是有限的，有時是基於常理，有時是基於物品本身的特性。
對於有些物品而言，其必須以一定的方法安置在身上的某些位置才能生效。而裝備位表明了該類物品彼此之間互相排斥、無法共同生效的本質特性。
一個裝備位與一個人體的生理位置相關，但並不是特指這個位置，而是指該生理位置對於那些必須裝備於此位置的物品的限制。
受到某個裝備位限制的一類物品只有特定的一個（戒指位是兩個）生效，有時是因為物品自然的超自然能量場需要在特定的生理位置與人體能量場產生互相作用，有時是因為該生理位置在魔法或宗教表徵上具有特殊的意義。無論如何，如果某件物品需要裝備在某個裝備位所關聯的生理位置上，但該物品本身並不佔用裝備位，則此裝備位依然視為未被佔用。
同裝備位裝備多件物品：有時一個裝備位上會佩帶多件物品，比如在手上戴多個戒指，或在頭上同時佩戴魔法頭巾、帽子、頭盔等。在這種情況下，只有一件物品（或符合裝備位要求的數量）會生效，由角色來決定。
請注意，上述的裝備位必須代表著角色有對應的生理位，若角色的生理位發生了改變，則對應的裝備位也會發生改變。
例：若角色沒有腿則失去“鞋”這個裝備位。
例：若角色失去一隻手，則失去手套位，護腕位（這些必須成對才能生效）以及一個戒指位。
例：角色擁有4隻手，額外可以持有多把武器。
例：角色擁有2個頭，額外獲得1個頭盔位和項鍊位。</t>
      </text>
    </comment>
    <comment authorId="0" ref="X22">
      <text>
        <t xml:space="preserve">在感知相關的檢定上獲得n個附加成功。
獲得n點防禦附加成功。
獲得n點基礎防禦。
基礎敏感範圍增加20n米。</t>
      </text>
    </comment>
    <comment authorId="0" ref="CW3">
      <text>
        <t xml:space="preserve">生理類：這類缺陷和天賦基於你的生理因素產生效果。如果你擁有奪舍或類似的可以換一具身體的能力，或者元神離體等可以不使用舊身體的能力，那麼你在新的身體裡不再受到生理類缺陷和生理類天賦的影響。如果你還能回到舊身體，那麼你還要被舊身體中的生理類缺陷和生理類天賦影響。
精神類：這類缺陷和天賦基於你的精神狀況產生效果。如果你擁有切換人格或類似的能力，那麼你在換到新人格時，舊人格的精神類缺陷和精神類天賦不能被繼承，直到你換回舊人格。
特異類：這類缺陷和天賦的生效機制根本無法被解釋。可以確信的是，擺脫這類缺陷和天賦的方法是死亡，有時候也許死亡都無法解除他們。
如果沒有特殊說明，缺陷與天賦帶來的都是專長加值與專長減值。</t>
      </text>
    </comment>
    <comment authorId="0" ref="CE177">
      <text>
        <t xml:space="preserve">自制物品和修復物品的步驟：
1.得到圖紙。
通過兌換，這種方式只能兌換輪迴之境所允許兌換的物品的對應圖紙。價格為改物品的【支線等級×分數/100】點獎勵點數，向上取整。（雙支線物品為對應單支線+0.5）
2.解讀圖紙。
解讀科學圖紙，研究文件的信息。
檢定：智力+科學（對應專業）
動作：這是一個週期性檢定，週期為一小時，這意味著只要你潛心研究，則一定可以獲得成功。
解讀圖紙的DC等於【物品的圖紙價格】或【物品的支線等級×5（向上取整）】取較高者。
一個物品的圖紙解讀只需要進行一次。
3. 準備機床。
任何維修以及製造皆需要對應的輔助設備（工具），原支線等級D級以上的物品，在製造時需要額外的加工組合設備，這些加工設備視為功能齊全的輔助裝置，比如納米機器人群或高性能數控機床等等，可以適用於所有同級物品的製造，並且同樣屬於科技本質，並且高等級的輔助裝置可以向下兼容低等級的輔助裝置。
製造和維修無支線物品的輔助設備在輪迴之境中視為免費，無需工具。
製造和維修D級物品的輔助設備兌換價格為D+1000點
製造和維修C級物品的輔助設備兌換價格為C+2000點
製造和維修B級物品的輔助設備兌換價格為B+4000點
製造和維修A級物品的輔助設備兌換價格為A+8000點
但是魔幻本質和科技本質所需要的是兩套設備，也就是說，如果你想製作科技本質的物品則需要一套，再想製造魔幻本質需要再來一套魔幻本質的，雙方無法混用。
4. 購買零件和材料。
如果在輪迴之境兌換零件進行製造，則價格為原本的1/3，支線要求降低一個等級（如果是D級支線的物品，拆成實際上並不存在的E級支線處理，E級支線只能用於兌換D級物品的材料）
如果用輪迴之境兌換零件進行維修，則無需支線，將其分數/載具結構值，結果向上取整。每修復1點結構值則損耗對應的分數。
5.製造與修復
製造：
你現在可以製作對應的物品了。
檢定：智力+手藝-對應手藝子技能
動作：這是一個週期性檢定，週期為一天，DC為支線等級×分數/100，向上取整。
這意味著只要你潛心製作，則一定可以獲得成功。
特殊：對於無支線且DC不到1的物品可以在一天中製造多件,需要的總分數相加，直到DC達到1。
修復：
你現在可以維修對應的物品了。
檢定：智力+手藝-對應手藝子技能
動作：這是一個週期性檢定，週期為一小時，每當成功數到達其硬度，則恢復1點結構值。
這意味著只要你潛心修理，則一定可以獲得成功。
需要注意的是，針對你所要修復的物品，你必須已經解讀其圖紙，並且相關屬性和技能滿足製造該物品的條件。</t>
      </text>
    </comment>
    <comment authorId="0" ref="C31">
      <text>
        <t xml:space="preserve">一點：小時候蠻喜歡打架。
兩點：還不錯，可能常在酒吧鬧事。
三點：在平時打架的時候，比一般的人強。
四點：拳擊賽備受期待的挑戰者。
五點：給你四秒鐘，你可以把三個人送上西天。
主要使用者：軍人、警官、粗暴橫蠻的人、刺客。
專門領域：拳擊、柔道、摔角、腳踢、各種相關技巧。</t>
      </text>
    </comment>
    <comment authorId="0" ref="BJ153">
      <text>
        <t xml:space="preserve">由於函數的辨認方式問題，請將獲得的支線與失去的支線分開紀錄，以使函數得以正確識別。</t>
      </text>
    </comment>
    <comment authorId="0" ref="Q138">
      <text>
        <t xml:space="preserve">鞋：穿在腳上的裝備，每個角色只有一個鞋位。</t>
      </text>
    </comment>
    <comment authorId="0" ref="C23">
      <text>
        <t xml:space="preserve">人物果敢的決斷力和決定的堅定程度，也代表了人物頑固的程度。在超自然意義上，代表了人物的精神的強度。
任何能夠有目的行動的存在都擁有決心值。
決心為0的人物失去行為能力。他將會處於“昏迷”狀態。</t>
      </text>
    </comment>
    <comment authorId="0" ref="AZ5">
      <text>
        <t xml:space="preserve">不良狀態：
是指人物正處於某種負面的效果之中，這些效果一般會在一定的情況下帶來減值，這稱為不良狀態。
不良狀態是一種狀態：當人物處於該狀態下，會獲得某些特定的固有效果。
有些固有不良狀態無需計算，獲得之後，人物會立即受到該固定效果的影響。諸如：定身，震懾，浮空等。
不良狀態點數：
角色還有一些不良狀態則根據不良狀態點數進行計算，此時角色會根據其身上的不良狀態點數從而獲得某些效果的影響。
輕度：只要擁有不良狀態點數即可
重度：點數&gt;【關鍵抵抗屬性較高者*（關鍵抵抗屬性較高者上的傳奇屬性+1）】
進入重度不良狀態之後，如無特殊說明，則人物依然要受到輕度不良狀態所描述的減值。
毀滅：點數&gt;【關鍵抵抗屬性之和*（關鍵抵抗屬性上的傳奇屬性之和+1）】 
進入毀滅性後果之後，如無特殊說明，則人物依舊要受到輕度不良狀態所描述的減值，並且承受重度不良狀態。
注意：當不良狀態點數恢復到關鍵抵抗屬性之下時，重度不良狀態恢復為輕度不良狀態；但是毀滅性後果不會因為不良狀態點數恢復而自動移除，只會被輪迴之境或者一些存在特殊說明可以解除毀滅性後果的能力所解除。
</t>
      </text>
    </comment>
    <comment authorId="0" ref="BI46">
      <text>
        <t xml:space="preserve">心靈檢定（心靈能力）
需要使用心靈檢定的情況千奇百怪，根據對應的能力決定。
心靈檢定一般是使用者依靠自身強大的精神力或者心靈的力量施展出來的能力，若該能力需要檢定，則心靈檢定為決心+沉著±相關調整值。
若該能力對一個目標進行攻擊，則根據攻擊的方式和所使用的武器，其心靈檢定為決心+沉著-目標防禦±相關調整值。
心靈檢定的上限為=決心值+沉著值。這代表著即使你最終投出來的成功數超過了這個心靈檢定上限，也只能造成相當於上限的成功數。
若是使用心靈檢定進行攻擊，則傷害上限=決心值+沉著值，這代表著即使你最終造成的傷害超過了這個心靈檢定上限，也只能造成相當於上限的傷害。</t>
      </text>
    </comment>
    <comment authorId="0" ref="B48">
      <text>
        <t xml:space="preserve">互動系技能：互動系技能往往是技巧與知識的結合，與生理系技能相似，如果互動系技能為0，你仍然可以嘗試進行檢定，但是會失去兩個自然成功數，其中有一部分技能，甚至是一部分技能的一部分用法，ST可以認定為0時無法檢定，視為結果自動失敗，例如表達-彈奏鋼琴。</t>
      </text>
    </comment>
    <comment authorId="0" ref="C48">
      <text>
        <t xml:space="preserve">一點：能把訓練過的馬匹當作寵物。
兩點：可以哄騙純種幼犬，把牠偷過來。
三點：能訓練導盲犬。
四點：相當於馬戲團的馴獸師。
五點：在不使用超自然能力的狀況下，能調教野生猛獸。
主要使用者：農夫、馴獸師、動物園管理員、寵物店。
專門領域：看門狗、攻擊訓練、馬匹、農場動物、大型貓科動物。</t>
      </text>
    </comment>
    <comment authorId="0" ref="BI38">
      <text>
        <t xml:space="preserve">觸及範圍：觸及範圍一般決定戰鬥中你的威脅範圍，默認的威脅範圍為你的體積帶來的觸及範圍，觸及範圍決定的是角色近戰攻擊的範圍。
有一些特殊能力或者體積較大的武器會帶來額外的觸及範圍，一般是每有6點體積的武器則可以額外帶來2米的觸及範圍（延伸1格）。</t>
      </text>
    </comment>
    <comment authorId="0" ref="CE153">
      <text>
        <t xml:space="preserve">屬性：
分數購買：屬性提升1點的價格為當前基礎屬性值*200分，因此將力量從1提升到5需要200+400+600+800=2000分，這種情況下提升的屬性稱之為基礎屬性。
經驗購買：屬性提升1點的價格為當前基礎屬性值*4XP，因此將力量從1提升到5需要4+8+12+16=40XP，這種情況下提升的屬性稱之為基礎屬性。
在使用分數和經驗兌換屬性時，不計算購買的能力、受到的屬性傷害，只計算基礎屬性進行購買。
特殊的，當你將一個基礎屬性從0買至1時，若使用分數，則只需花費100分，若使用經驗值，則只需花費1XP。</t>
      </text>
    </comment>
    <comment authorId="0" ref="C40">
      <text>
        <t xml:space="preserve">一點：在高職學過相關技能。
兩點：你開始表現自己的風格。
三點：可以用這方面的技術謀生。
四點：你在這方面的相關著作，可以被列為大學的教科書。
五點：無人能比的巨匠。
主要使用者：藝術家、工匠、設計師、發明家。
專門領域：陶藝、縫紉、鑒定、寶石、泥水工。</t>
      </text>
    </comment>
    <comment authorId="0" ref="X23">
      <text>
        <t xml:space="preserve">在決心相關的檢定上獲得n個附加成功。
意志力池提升3n。
意志豁免檢定獲得n*3DP完美加值。</t>
      </text>
    </comment>
    <comment authorId="0" ref="C32">
      <text>
        <t xml:space="preserve">一點：你會駕駛一般汽車。
兩點：稍微困難的駕車技巧也能應付。
三點：專業的駕駛員。
四點：F1 賽車手。
五點：可以在 007 電影當特技演員。
主要使用者：出租車司機、賽車手、住在現代都市的居民。
專門領域：緊急煞車、急轉彎、交通阻塞、變速換檔。</t>
      </text>
    </comment>
    <comment authorId="0" ref="CP153">
      <text>
        <t xml:space="preserve">技能：
提升技能需要（當前技能等級）*2XP。
特殊的，將技能從0級提升到1級需要1XP。
技能最多被提升到15級。
經驗減免：
隨著技能等級的提升，玩家可以無師自通的習得某些能力和技巧。這表現為當玩家的技能等級在達到6、8、10、12、14時分別可以選擇一個前提條件包括原本該技能的專長或原本基於該技能使用的自創技能，在學習該專長或自創該技能時減少6/12/24/48/96點經驗值的消耗，最低將消耗降低為0。
減少的經驗不能分攤到多個不同的能力上（同一專長/稱號中的不同等級認為是不同能力），但是減少的經驗可以疊加到一個能力上，並非在選擇該專長或能力時就要同時學習，因此若一個能力需要70XP，角色可以在技能等級到12時，累積為該技能減少90XP消耗，這樣做可以免費獲得這個能力。
只用通過XP或者永久提升的方式獲得的技能等級，才可以享受XP減免，任何複製，臨時提升，直接變為某一等級等方式無法獲得經驗減免。
經驗減免針對同一個角色只能奏效一次，若出現繼承情況，則計算其繼承前的情況，若使用過減免，則繼承後該減免機會依然算做被用掉。若出現合體情況，則計算其合體前的情況，只有永久合體才能夠使用經驗減免，此時合體後根據繼承原本角色的技能等級決定是否可以使用經驗減免，若原本該角色使用過，則算作被用過，否則可以使用。如果出現其他情況，則根據上述情況由ST判斷。
特殊的，若一個技能有無數子技能，例如表達，手藝等，無論有多少子技能滿足獲得經驗減免條件，經驗減免也只能獲得一次。
某些能力將自動提升技能等級，當你失去這些能力時（如洗點），則計算你在本技能上投入的有效經驗，然後重新購買一次，多餘的經驗也必須投入到本技能中，直至補全剩餘經驗如常升級。（如技能等級2，自動提升到3，然後玩家花費6XP提升到4級，這個時候進行了洗點，則技能變回2，然後本技能投入了4點經驗，技能等級變為3，然後本技能中計入2點經驗，直至再投入2點經驗，則升級到4級）。</t>
      </text>
    </comment>
    <comment authorId="0" ref="C24">
      <text>
        <t xml:space="preserve">人物的氣質、風度和存在感，不由地引起旁人興趣的能力。在超自然意義上，也代表了人物在多大程度上超脫了自然本質。雖然與相貌有關，但數值高並不意味著長得帥或美麗，數值低也不一定是醜八怪。
任何能夠將自己與環境區分開的存在都擁有風度值。
風度為0的人物失去意識。他將會處於“昏迷”狀態。</t>
      </text>
    </comment>
    <comment authorId="0" ref="BI47">
      <text>
        <t xml:space="preserve">注：開啟本能覺醒檢定雖然名為檢定，但是不受到任何增加檢定結果，或者檢定DP能力的影響，除非特別說明。
注：開啟本能覺醒只有在未開啟對應階段的本能覺醒狀態下才可以開啟，無論是出於主動還是被動的情況下。
注：【當你已經可以開啟相應階段的本能覺醒時】，若再次達成開啟本能覺醒的條件，則【自動開啟】對應階段的本能覺醒。（如你擁有2階的本能覺醒，之後你因一次傷害受到了惡性傷害，則你立即自動開啟2階本能覺醒）
開啟本能覺醒的條件包括：
1）自身受到實際傷害，且結算該實際傷害後，導致自身的生命槽已經全部填滿，且最嚴重的是惡性時。
2）自身受到足以致死的傷害或效果時。
3）自身珍重的人或者隊友，造人受到致死傷害時。（ST應當根據RP來決定人，隊友或造人是否被珍視）
4）自身因任意不良狀態點數，進入該點數對應的嚴重後果時。
5）自身因任意不良狀態點數，進入該點數對應的毀滅後果時。
6）自身全神灌注做一件非常緊急且重要的事情時。（此條ST選開）
補充1：無論如何，受到衝擊傷害無法開啟本能覺醒。
補充2：當玩家處於生命值上限減少的狀態時，計算條件按照當前的生命值上限來計算。
補充3：任何自自殘技能或者招式等類似能力無法讓你開啟本能覺醒，哪怕會讓你死亡。
補充4：無論任何條件，隊友以及友軍等類似的誤傷或者有意的行為，不得讓你開啟本能覺醒。
補充5：每條每場景只會觸發一次，反覆治療或者降低不良狀態點數不會額外獲得開啟機會，但4,5條針對每種負面狀態一次。
補充5：若一次效果會觸發多條，那麼你有多個開啟機會（例如你受到一個效果同時將你兩個負面狀態從輕度直接打進毀滅，你就有4次開啟機會。）
補充6：隊友的致死傷害只需其在你敏感視覺範圍內，規則上死亡，不需你有特殊能力以察覺目標是否死亡，也不會被假死能力欺騙，但復活類能力，包括死亡後觸發的那些效果能正常運作，並正常讓你嘗試開啟。自身珍重的人原則上取決於扮演，ST有裁定權。
補充7：原則上，在輪迴之境中，除非ST予以特別准許，否則不能進行以XP主動解鎖之外的解鎖形式，以避免什麼召喚一個不穩定的怪毆打全隊之類的事件。
補充8：失去意識的角色不會滿足上述開啟本能覺醒的條件
補充9：若玩家處於絕對不可能真正死亡的環境下，通常是無法開啟本能覺醒的 ，除非玩家自身並不知曉，ST可以裁定這點。在一些虛擬環境下也同樣如此（舉例而言，前述戰鬥就是虛擬了一個玩家進入了刀劍神域用的實際上並非自己的身體）
超常表現：
首次開啟本能覺醒的玩家一般會有超常表現獎勵。
超常表現代表了人物在潛能爆發之下做出的驚人舉動，一般可以在以下範疇內進行選擇：
無視實力差距，一擊秒殺對手。（視情況，ST可能將其降級為攻擊骰全部取10但無加骰）
一個行動無需檢定，直接成功。（視情況，ST可能將其降級為檢定骰全部取10但無加骰）
免除本次傷害。
將重傷的隊友從敵人的包圍中帶出，期間片葉不沾身。
一個超常表現只能被另一個超常表現抵消。
ST也可以根據劇情與設定，額外增減超常表現的內容。</t>
      </text>
    </comment>
    <comment authorId="0" ref="AG147">
      <text>
        <t xml:space="preserve">人物可以把最大負重的東西舉過頭頂。可以暫時把最大負重兩倍的物品抬離地面，人物可以推動和拖行的最大重量是最大負重的五倍。
當你處於輕度負重時，你可以如常行動，不會受到負重影響。
當你處於中度負重時，你每移動1米需要耗費2米移動力。
當你處於重度負重時，你每移動1米需要耗費2米移動力，同時你進行的力量與敏捷相關檢定失去一半自然成功數。
當你處於超過重度負重的狀態時，一般被稱之為壓垮，壓垮不是負面狀態，不可清除（除非造成該狀態的物品被挪走，讓你當前的負重下降或者使你自身的負重能力提升）。
處於壓垮狀態下，你無法進行移動（這不代表你失去移動動作），你進行的力量和敏捷相關檢定直接失敗，你失去基礎防禦和閃避防禦，以及傳奇敏捷帶來的防禦附加成功。
特殊：若沒有特殊說明，則一般資源中的物品和裝備的重量都是默認為中型體型適用的，若其變為大型體型的，則每上升1級，則重量*2。若其變為小型體型的，則每下降1級，則重量減半。</t>
      </text>
    </comment>
    <comment authorId="0" ref="B115">
      <text>
        <t xml:space="preserve">注意：快速整備功能需要在你的回合剛開始並且未進行過任何行動時才能進行，當快速整備功能使用過後，你的回合會被直接跳過；如果你在自己的回合時已經進行過任何消耗除自由動作以外的其他動作的行動，你無法進行快速整備，哪怕你擁有更多動作。
注意：所有存放在倉庫內的技能，必須是你滿足其前提條件可以習得的，比如你沒有施法者等級就無法儲存法術。
注意：一旦你將該資源儲存起來，就視為你沒有該資源，所以該資源也無法成為其他資源的前提。如A技能的前提是B技能，你將B技能存儲起來，那麼A技能則無法使用。
注意：若你擁有儲存技能或者類似的能力，一旦你將已經儲存好的技能通過書籤儲存起來，那麼由於視為你沒有學習過該技能，所以你也無法將原本儲存好的技能儲存，原本儲存的技能直接消失。
注意：當你儲存該技能的時候，該技能所帶來的一切效果都將立即結束，無論是增益還是減益。
注意：無論如何，能量池的基本用法以及贈送所得的資源無法儲存。
注意：任何擁有使用次數的技能若被儲存，一旦該資源被配置後且其次數不為滿，則該技能在其使用次數恢復至滿值前，將無法被整備（次數小到包括一場景一次，大到包括一生一次。）,只有在其使用次數恢復，或者冷卻時間結束時，才能被書籤整備。
注意：存在冷卻時間的技能（大到使用後需要冷卻10回合，小到只需要冷卻一回合）同樣被歸於“擁有使用次數”，因此這類技能如果處於冷卻時間中，或者次數不為滿，則也遵循上述說明。
注意：任何使用過後會對自己產生負面影響或者支付某類持續存在的代價的能力（例如“對自己造成10點暈眩點數”、“使用過後會使自己的攻擊檢定承受6DP無名減值”或者其他諸如此類的負面效果），在其持續時間尚未結束時，無法進行整備。
注意：研發，升階等類似的情況下，若你將對應的技能進行儲存，則再次配置的時候，其依然是研發和升階之後的狀態，你無需為其再次投入資源。
注意：當你進行洗點時，你可以將所有儲存在倉庫中的分數全部洗出來，但是購買書籤本身的分數不會洗出來。
注意：書籤無法儲存使用經驗（XP）習得的技能。
特殊：本資源可以重複購買，每次獲得一頁。
特殊：時間輪迴倒轉等能力不會影響你已經配置好的技能，你不會因為時間倒流而回到之前的配置狀態，除非你自己重新配置。 </t>
      </text>
    </comment>
    <comment authorId="0" ref="C49">
      <text>
        <t xml:space="preserve">一點：有時候會讓哭泣的人靠在你的胸膛上。
兩點：能察覺或同情別人的痛苦。
三點：敏鋭地看穿對方的動機。
四點：很難騙你上當。
五點：你能洞察人類靈魂的奧秘。
主要使用者：社工、哲學家、偵探、心理治療師、靈媒。
專門領域：感情、個性、信念、獲取信賴。</t>
      </text>
    </comment>
    <comment authorId="0" ref="B16">
      <text>
        <t xml:space="preserve">九項屬性代表了角色自身具有的能力，這些能力基於天生，並且可以後天鍛鍊，或者用來自輪迴之境的各項資源進行強化。
任何生物的每一項屬性值都至少為1。
角色的絕大多數行為都需要依據自身的屬性，因此屬性就相當於角色的主動能力和行為的可能性，並且有時也等同於你保持自身不被幹擾或侵害的能力。
若角色擁有某種超自然的本質或特性，屬性也可能以超自然的形式發生作用。
屬性值表示人物在這一方面的能力如何。
一般而言，屬性值2-3是現代人類的平均水準，而屬性值5差不多是正常人類所能達到的極限。從屬性值6開始，角色獲得了超越凡人的力量，達到了傳說中英雄們的水準，而屬性超過15的人則踏入了半神的領域，超過25之後，在凡人眼中他們就是神祗一般的存在了。
首先，將人物的所有屬性基本值設置為2。
將3點/2點/1點的點數按照這自身意願任意分別分配給生理、心智、互動三類屬性（你可以將3點分配給生理系屬性，也可以將這3點分配給心智系屬性），然後將點數加在各項屬性上。然後，將6點自由點數任意加在想要提高的屬性上。另外，將一項已經加到4的屬性提升到5，需要耗費2點點數，若沒有特殊說明，則無法在建卡的時候將屬性突破5點。</t>
      </text>
    </comment>
    <comment authorId="0" ref="AB7">
      <text>
        <t xml:space="preserve">完好生命值是自動計算的。
當完好生命值為負時，代表你需要轉化傷勢。</t>
      </text>
    </comment>
    <comment authorId="0" ref="BI39">
      <text>
        <t xml:space="preserve">敏感範圍：敏感範圍是指角色可以清晰感覺到的範圍，比如在這個範圍之內角色可以清楚看到對面角色的面容，以及清晰聽到他們的對話等，超出這個範圍則無法看清楚目標身上的裝飾，文字等。
角色的敏感範圍初始值為感知值*10米，一般情況下，大部分生物都是使用視覺才可以精確定位。
若沒有特殊能力的話，生物無法通過非視覺的能力進行定位。
只有擁有“靈敏聽覺”的生物才可以通過聽覺在其敏感範圍內進行模糊定位。
只有擁有“靈敏嗅覺”的生物才可以通過嗅覺在其敏感範圍內進行模糊定位。
由於目標體積的區別（體積越大越容易被發現）所以在針對觀察某一個目標時，敏感範圍可能會進行動態的調整，調整的規則如下：
目標的體積每比5大1，人物對該目標的敏感範圍視為比原先提升10米，目標的體積每比5小 1，人物對該目標的敏感範圍視為比原先降低10米。
模糊範圍：這個範圍下，角色只能觀察到那裡有一個目標，但是無法看清楚樣貌等其他信息，角色的模糊範圍初始值為敏感範圍*10米。一般而言，在沒有特殊能力的情況下，模糊範圍只有視距存在，一般說的視距也就是模糊範圍。
模糊範圍下，角色可以如常對目標進行精確定位，但是無法進行細緻的觀察。
特殊：由於角色的模糊範圍因其自身的敏感範圍所決定，所以改變其敏感範圍的能力一般會同步影響其模糊範圍。
特殊：某些能力會給予角色感知超出敏感範圍和模糊範圍的感知能力，這會在對應的能力中做出說明。
特殊：某些能力會提升單獨某個感官的敏感範圍或者模糊範圍，比如望遠鏡可以提升視距，這些能力只將視覺範圍擴大，並沒有擴大敏感範圍或者模糊範圍本身。
</t>
      </text>
    </comment>
    <comment authorId="0" ref="B140">
      <text>
        <t xml:space="preserve">戒指：戴在手指上的裝備，一般穿脫是一個移動動作，每個角色有2個戒指位。</t>
      </text>
    </comment>
    <comment authorId="0" ref="AV147">
      <text>
        <t xml:space="preserve">你的體型每比中型大一級，則負重翻倍。
如大型生物負重*2，超大型生物則負重*3，以此類推。
你的體型每比中型小一級，則負重減半。
如小型生物負重/2，微型生物則負重/3，以此類推。
力量每增加1點，則輕度負重增加3公斤，同比中度負重的下限為輕載+1，上限為下限*2，重度為中度負重的上限+1，重度負重的上限為重度負重下線+（中載的上限-下限）。</t>
      </text>
    </comment>
    <comment authorId="0" ref="BI31">
      <text>
        <t xml:space="preserve">體積：每個生物或者物體都佔據著不同大下的空間，在本遊戲中，一個0-0.33平方米的單位為體積1</t>
      </text>
    </comment>
    <comment authorId="0" ref="CO63">
      <text>
        <t xml:space="preserve">基礎防禦：
基礎防禦一般是指角色對攻擊的基礎反應，它意味著你招架，閃避。
與其他加值不同，基礎防禦都是可以疊加的。</t>
      </text>
    </comment>
    <comment authorId="0" ref="B132">
      <text>
        <t xml:space="preserve">頭盔：所有使用頭部的裝備，每個角色只有一個頭盔位。</t>
      </text>
    </comment>
    <comment authorId="0" ref="X24">
      <text>
        <t xml:space="preserve">在風度相關的檢定上獲得n個附加成功。
角色在進行本能覺醒的開啟檢定或任何機運骰檢定時，在檢定結果上+n，但是這不會讓你獲得機運骰的加骰。
同時，你使用意志力的基礎用法時，獲得的完美加值提升2n點。</t>
      </text>
    </comment>
    <comment authorId="0" ref="C33">
      <text>
        <t xml:space="preserve">一點：小時候常常玩玩具槍。
兩點：常常在射擊場練習。
三點：曾在一、兩次的實戰中存活下來。
四點：在戰場上最後一個存活的就是你。
五點：你大概從槍枝發明之後就練習到現在了。
主要使用者：撒霸特、警官、軍人、獵人。
專門領域：瞄準、狙擊、掃射、快槍決鬥</t>
      </text>
    </comment>
    <comment authorId="0" ref="CT63">
      <text>
        <t xml:space="preserve">閃避防禦：
閃避加值一般加在防禦或對抗範圍效果的檢定上，它意味著你靈活地左右躲閃，閃避加值一般只會加在防禦上，也被稱之為閃避防禦。
閃避防禦不會疊加。</t>
      </text>
    </comment>
    <comment authorId="0" ref="Q140">
      <text>
        <t xml:space="preserve">戒指：戴在手指上的裝備，一般穿脫是一個移動動作，每個角色有2個戒指位。</t>
      </text>
    </comment>
    <comment authorId="0" ref="CY63">
      <text>
        <t xml:space="preserve">格擋防禦：
格擋防禦只會加在防禦上，它意味著你利用武器或自己的雙手擋開敵人的攻擊。
格擋防禦不會疊加。
</t>
      </text>
    </comment>
    <comment authorId="0" ref="C25">
      <text>
        <t xml:space="preserve">影響他人的能力，言行的感染力，煽動別人、讓別人依你的想法行事的能力。
任何能夠表達自己意願的存在都擁有操控值。
任何操控值達到2或更高的個體，都應該具有某種明確、主動、自覺表達自己意圖的手段，如語言。
操控為0的人物會完全精神崩潰。他將會處於“昏迷”狀態。</t>
      </text>
    </comment>
    <comment authorId="0" ref="CP179">
      <text>
        <t xml:space="preserve">本規則中，幾乎所有的物品都是可以破壞的，包括玩家持有，佔用裝備位正在裝備中的物品。只有無佔位的物品可以獲得更多保護，物品因為其可以被破壞的劣勢而獲得了額外特性。
一般情況下，物品使用結構值（生命）代表物品被摧毀之前能承受的最大傷害。
物品只有一條生命值，免疫原本造成衝擊傷害的衝擊傷害（這意味著傷害轉化轉化類能力對物品無效），同時其受到惡性傷害時，改為受到等額的嚴重傷害，當其受到不可避免的衝擊傷害時，改為受到等額的不可避免的嚴重傷害。
物件的硬度代表了這個物品有多……“耐打”。物品每次受到攻擊時，會抵銷掉相等於硬度值的傷害（詳情請看“傷害類型”章節）。
若一個物品未說明其生命值和硬度，默認其硬度為支線等級轉化為D+分數/1000，因此一件A+4000的物品硬度為31。默認其結構值（生命值）為（硬度+體積）*3。沒有特殊說明的物品一般不具備裝甲值。
如果用輪迴之境兌換零件進行維修，則無需支線，將其分數/載具結構值，結果向上取整。每修復1點結構值則損耗對應的分數。
修復：
你現在可以維修對應的物品了。
檢定：智力+手藝-對應手藝子技能
動作：這是一個週期性檢定，週期為一小時，每當成功數到達其硬度，則恢復1點結構值。
這意味著只要你潛心修理，則一定可以獲得成功。
需要注意的是，針對你所要修復的物品，你必須已經解讀其圖紙，並且相關屬性和技能滿足製造該物品的條件。</t>
      </text>
    </comment>
    <comment authorId="0" ref="BI48">
      <text>
        <t xml:space="preserve">一階本能覺醒：
一階本能覺醒的開啟，意味著生物進化潛能的釋放。從此，只要你需要，你就可以成為任何一個領域的天才。
解開第一階本能覺醒後，你可以解放遠古人類時的戰鬥本能，你的智力決定了你引導戰鬥本能的能力，你的感知決定了你能動用多大程度的戰鬥本能，被動用的戰鬥本能將體現在你的集中力上。</t>
      </text>
    </comment>
    <comment authorId="0" ref="Q132">
      <text>
        <t xml:space="preserve">項鍊：戴在脖子上的裝備，一般為魔幻本質特有，每個角色只有一個項鍊位。</t>
      </text>
    </comment>
    <comment authorId="0" ref="BK48">
      <text>
        <t xml:space="preserve">被動開啟：任何時候，當你達成開啟條件時（見上文說明），你將獲得一次開啟本能覺醒的機會。你投擲一個D10，若結果在10或10以上，則你成功開啟了一階本能覺醒。</t>
      </text>
    </comment>
    <comment authorId="0" ref="C50">
      <text>
        <t xml:space="preserve">一點：在筆記本上寫些還不壞的詩。
兩點：可以被選入大學辯論代表隊。
三點：可以成為暢銷作家。
四點：作品能夠獲得文學獎。
五點：在各個時代暢行無阻的才能。
主要使用者：演員、作家、詩人、政治家、教師、記者。
專門領域：演技、談話、演講、做詩、寫小說。</t>
      </text>
    </comment>
    <comment authorId="0" ref="AH16">
      <text>
        <t xml:space="preserve">專長定義了人物的一些特殊能力，它會讓人物在某些行動中獲益。這是一種訓練，經驗，天賦以及能力的體現。
你可以使用經驗值或者一些特殊的方法來提升專長。
同時，你必須滿足專長的“前提條件”才可以習得該專長。
在建卡時，若你沒有特殊說明，則無法選擇任何戰鬥系專長。
具體這些專長的功能以及作用和學習方法等內容，請看“專長概述”章節，這裡只闡述如何創建角色時決定你的專長。
首先，人物沒有任何專長。
將15點專長點數分配在普通專長上，每個普通專長都有其對應的等級，1級普通專長對應1點專長點數，2級普通專長對應2點專長點數，以此類推。
一般而言，若沒有特殊說明，專長必須從低級向高級習得，如習得一個3級普通專長，需要花費1+2+3，一共6點專長點數。有些專長只有高等級的部分，此時花費對應的專長點數即可，如習得一個只有2級和3級的普通專長時，則一共需要花費2+3點專長點數。
若玩家擁有剩餘的專長點數，則不會保留，直接浪費掉。
玩家在建卡時，若想習得“戰鬥專長”，必須習得“特殊身份”專長。
玩家在建卡時，無法習得“輪迴之境專長”。</t>
      </text>
    </comment>
    <comment authorId="0" ref="BN48">
      <text>
        <t xml:space="preserve">主動開啟：當你已經成功通過上述方法開啟過一次一階本能覺醒後，你便可以通過一個移動動作，並且支付1點意志力，來開啟一階本能覺醒，獲得一階本能覺醒的開啟效果。</t>
      </text>
    </comment>
    <comment authorId="0" ref="BI40">
      <text>
        <t xml:space="preserve">意志力：人物的意志力代表人物憑自己的堅定意志扭轉劣勢或改變現實的能力。意志力是一個可以消耗以換取收益的點數，其初始上限為決心+沉著，建立新人卡時，人物的意志力為最大值。
人物的意志力代表人物憑自己的堅定意志扭轉劣勢或改變現實的能力。 
關於意志力的更多用法與回覆，詳見“意志力規則”頁。</t>
      </text>
    </comment>
    <comment authorId="0" ref="BQ48">
      <text>
        <t xml:space="preserve">解除：解除一階本能覺醒是一個自由動作。</t>
      </text>
    </comment>
    <comment authorId="0" ref="BS48">
      <text>
        <t xml:space="preserve">效果：當你處於解開一階本能覺醒狀態時，你可以將你傳奇感知和傳奇智力中較低者作為完美加值加到你的全檢定以及防禦上。
你在使用意志力的基礎用法時，可以獲得等於感知和智力中較低者的完美加值。
同時，你在使用任何技能時都視為擁有1/2級。也就是說，無論使用任何技能，你都視為擁有該技能一般而不會受到檢定上的罰值，但不會獲得來自技能等級的DP加值。
這是來自於基因層面的記憶，因此不會被任何負面效果抵消。
額外獎勵：只有第一次，當成功開啟一階本能覺醒時，ST應當給予玩家一次超常表現獎勵。</t>
      </text>
    </comment>
    <comment authorId="0" ref="BX48">
      <text>
        <t xml:space="preserve">持續時間：你每維持一輪本能覺醒需要花費1點意志力，當你意志力不足時直接關閉，你在你回合開始時決定是否花費意志力，若不花費則本能覺醒效果立即結束。</t>
      </text>
    </comment>
    <comment authorId="0" ref="BI32">
      <text>
        <t xml:space="preserve">根據以下表格中的體積來決定單位的體型。
體型：超微型、微型、小型、中型、大型、超大型、巨型、超巨型
體積：忽略不計、1、2-3、4-6、7-12、13-21、22-33、34以上
佔據空間（直立）：無、半格（1平方米）、1格（2平方米）、1格（2平方米）、 2格（4平方米）、3格（6平方米）、4格（8平方米）、6格（12平米）以上
範例：蚊子、麻雀、山貓、人類、腫頭龍、大象、三角龍、藍鯨
生命值調整：0、1、2、5、10、17、26、37以上
觸及：無、無、2米、2米、2米、4米、6米、8米以上
基礎速度修正：無、1米、2米、5米、5米、8米、12米、16米以上
普通成年人體積為5，也就是中型生物。</t>
      </text>
    </comment>
    <comment authorId="0" ref="X25">
      <text>
        <t xml:space="preserve">在操控相關的檢定上獲得n個附加成功。
角色每場景獲得n次重骰機會，可以在投骰結束後對結果不滿意再使用，取較好的結果。（注意本能力重投的是骰子，不是檢定，針對不是檢定的能力，該效果依然可以生效，但是針對不能重投的能力，本能力無法起效），若該次投骰是檢定，則該次檢定獲得n*3DP完美加值。
特殊的是：本傳奇屬性可以對處於同一場景的自願目標生效。</t>
      </text>
    </comment>
  </commentList>
</comments>
</file>

<file path=xl/sharedStrings.xml><?xml version="1.0" encoding="utf-8"?>
<sst xmlns="http://schemas.openxmlformats.org/spreadsheetml/2006/main" count="6666" uniqueCount="1057">
  <si>
    <t>編號</t>
  </si>
  <si>
    <t>天賦</t>
  </si>
  <si>
    <t>缺陷</t>
  </si>
  <si>
    <t>前提</t>
  </si>
  <si>
    <t>效果</t>
  </si>
  <si>
    <t xml:space="preserve"> -</t>
  </si>
  <si>
    <t>-</t>
  </si>
  <si>
    <t>生理類天賦：</t>
  </si>
  <si>
    <t>生理類缺陷：</t>
  </si>
  <si>
    <t>絕對時間感知（1）</t>
  </si>
  <si>
    <t>陂腳（-1）</t>
  </si>
  <si>
    <t>描述：你腦子裡的好像有一塊精準的表。
 你總是知道現在是什麼時候，精度以秒計算。你可以以同樣的精度測算經過的時間長度。時區變化或者打瞌睡都不會影響此能力，你可以在你事先選定的時間點醒過來。時空的變換不會影響你。你總是在絕對的意義上知道當前的時間，當你在時空中旅行，ST會告訴你“你向過去行進了92876.3天”，並令你——或其它人——自行解決類似“那TM閏年怎麼計算啊？”的問題。</t>
  </si>
  <si>
    <t>舉重(1)</t>
  </si>
  <si>
    <t>描述：你的腿腳有些問題，也許曾經受過傷。 
 你的基礎移動速度降低3米。 
 特殊：輪回之境可以修復本缺陷，這需要花費你200分。</t>
  </si>
  <si>
    <t>描述：你可以舉起比你體重更重的東西。 
 當在你進行負重計算時，你的負重能力翻倍。</t>
  </si>
  <si>
    <t>快速康復（1）</t>
  </si>
  <si>
    <t>你不能擁有“自愈障礙”缺陷</t>
  </si>
  <si>
    <t>獨臂（-1）</t>
  </si>
  <si>
    <t>描述：你身體的恢復速度很快。 
 你的自然恢復速度翻倍（短休若原本是1小時，現在變為半小時，最低15分鐘，長休若原本是8小時，現在變為4小時，最低2小時）。</t>
  </si>
  <si>
    <t>描述：你的肢體因為某些原因沒有了，可能是在事故中失去了。 
 你只有一隻胳膊和手。 
 特殊：你可以選擇該缺陷2次，這樣會使你失去兩條手臂。 
 特殊：輪回之境可以修復本缺陷，這需要花費你每條手臂200分。</t>
  </si>
  <si>
    <t>敏銳感覺系列（3）</t>
  </si>
  <si>
    <t>你不能擁有對應感官的缺陷，如，你不能既擁有“視力缺陷”缺陷又擁有“敏銳視覺”天賦。</t>
  </si>
  <si>
    <t>疤痕（-1）</t>
  </si>
  <si>
    <t>描述：你擁有超人般的感覺。
 每個敏銳感覺特性都是獨立的天賦，分為視聽觸嗅味五個感官，購買後選擇一個獲得，每個選項只能選擇一次：
 聽覺：你獲得靈敏聽覺。
 嗅覺：你獲得靈敏嗅覺。
 味覺：當你服用任何非正常食物、水時，你可以立即發現不對勁（如下毒，過期等），前提是你吃過正常的食物。只要你不願意，你不會受到任何口服藥水，毒藥，毒品等類似物品的不良影響。
 視覺：你忽略8點高速優勢。
 觸及：你免疫B級接觸攻擊。</t>
  </si>
  <si>
    <t>柔韌身體（1）</t>
  </si>
  <si>
    <t>描述：你因受傷落下了顯眼且猙獰的疤痕，使你更難以隱藏你的真正容貌，還令大部分人僅僅因為你的外表就不信任你。 
 你在表達、交涉相關檢定分別承受2DP減值，同時你的易容檢定承受4DP減值。</t>
  </si>
  <si>
    <t>描述：你的身體柔韌性非比尋常。 
 當你通過狹小空間時，你無需額外花費移動力，也不會失去基礎防禦。</t>
  </si>
  <si>
    <t>奴隸印記（-2）</t>
  </si>
  <si>
    <t>完美形體（3）</t>
  </si>
  <si>
    <t>描述：你天生擁有對於你的種族來說完美的肉體。 
 你額外獲得1點可分配的建卡屬性點，但依然不能使任何屬性超過5。</t>
  </si>
  <si>
    <t>描述：你青春的一部分或全部都是在被奴役中度過的，這段歲月為了留下了一個烙印或紋身，時時刻刻提醒著你每次做錯事情時都會受到嚴厲處罰。 
 每當你檢定失敗，這包括你豁免檢定失敗，攻擊檢定未命中，其他檢定沒到達DC等情況。除非是為了重新嘗試這個技能檢定，否則，你在其他全檢定中承受1DP減值，可以疊加，持續一個場景。</t>
  </si>
  <si>
    <t>閃電先攻（3）</t>
  </si>
  <si>
    <t>描述：你擁有驚人的行動力。 
 你的先攻提升6點。</t>
  </si>
  <si>
    <t>畸形（-1）</t>
  </si>
  <si>
    <t>完美平衡（2）</t>
  </si>
  <si>
    <t>描述：通常的狀況下，無論行走在多麼窄多麼滑的表面上，你不會摔倒。 
 1級：你在進行平衡感的相關檢定時獲得4DP專長加值，並且你免疫困難地形。</t>
  </si>
  <si>
    <t>描述：無論是由於邪惡的魔法、疾病或神明的懲罰，你身上有一處先天的畸形，嚴重影響你的身體活動。
 你的敏捷相關檢定承受2DP減值。</t>
  </si>
  <si>
    <t>危險感知（9）</t>
  </si>
  <si>
    <t>兩性具有（-2）</t>
  </si>
  <si>
    <t>描述：你擁有一種在危險迫近時能夠提醒他的敏銳的生存本能。也許他可以熟練的察覺周圍環境中的細微線索，或者擁有神秘的第六感幫他消除將要到來的麻煩和危險。當即將遇到危險時，你會有一種奇妙的反應，可能是以頭髮豎起、手臂的雞皮疙瘩、背脊升起的寒氣。
 你免疫突襲。</t>
  </si>
  <si>
    <t>夜視（1）</t>
  </si>
  <si>
    <t>你不能擁有“視力缺陷”。</t>
  </si>
  <si>
    <t>描述：你是同時擁有男女兩性器官的雙性人。 
 你在性別的判定上你不屬於男性也不屬於女性，你不能強化前提限定男性或女性的強化，不能使用限定男性或女性使用的物品，除非其有特殊說明。 
 任何改變性別的相關能力和物品也無法影響你，但是針對性別的效果卻可以如常觸發。</t>
  </si>
  <si>
    <t>描述：你的眼睛如同貓一樣可以晚上視物。 
 你獲得黑暗視覺。</t>
  </si>
  <si>
    <t>遠視（1）</t>
  </si>
  <si>
    <t>玻璃人（-5）</t>
  </si>
  <si>
    <t>描述：你可以將你的眼睛聚焦，如同使用瞭望遠鏡。 
 你可以在模糊範圍內進行特定部位攻擊。</t>
  </si>
  <si>
    <t>自然免疫（2）</t>
  </si>
  <si>
    <t>你不能擁有“免疫障礙”缺陷。</t>
  </si>
  <si>
    <t>描述：你的身體因為嚴重疾病變得如同玻璃一般脆弱，稍微的碰撞都會使你骨折。 
 每當你受到傷害時，你的隨機一條肢體都會獲得相當於所受傷害的不可疊加的肢體妨害點數，強韌豁免。並且你清除肢體妨害點數的難度是原本的兩倍，這意味著你清除肢體妨害點數時，假設原本需要1點成功數可以降低1點，則現在需要2點成功數。 
 說明：需要注意的是，這隻影響清除時的難度，不影響獲得時的豁免檢定。</t>
  </si>
  <si>
    <t>描述：你重病的次數屈指可數。 
 你免疫自然本質的毒素和疾病效果。</t>
  </si>
  <si>
    <t>戰鬥反射（1）</t>
  </si>
  <si>
    <t>神經協調障礙（-1）</t>
  </si>
  <si>
    <t>你有著超乎尋常的反應，並且極少被震驚超過一瞬。 
 當你陷入措手不及時，你依然可以如常使用反射動作。</t>
  </si>
  <si>
    <t>一馬平川(0)</t>
  </si>
  <si>
    <t>1級：笨手笨腳 
 描述：你是會走路的人型災難。 
 你的生理系的相關技能檢定承受1DP點減值。</t>
  </si>
  <si>
    <t>只有選擇了同名缺陷才能擁有此天賦。</t>
  </si>
  <si>
    <t>描述：你善於利用自己身體的優勢。 
 你的閃避防禦增加1點，並且你的反射豁免檢定獲得1DP專長加值。 
 特殊：只有當你的外觀視覺效果上處於人型時才會受到此天賦的影響。當你以任何能力消除同名缺陷的影響時（包括但不限於隆胸手術、變形術、著裝全封閉盔甲等），你同時失去此天賦的一切加成。</t>
  </si>
  <si>
    <t>傲人身材(0)</t>
  </si>
  <si>
    <t>神經協調障礙（-2）</t>
  </si>
  <si>
    <t>描述：你善於利用自己身體的優勢。 
 當你在與性取向為女性的角色社交時，你的唬騙和交際相關檢定獲得1DP專長加值。 
 在非戰鬥情況下，你可以將一支筆、一部手機或類似的小型物件夾在胸口。這種情況下，你的隱藏（隱藏物品）檢定獲得1DP專長加值。 
 特殊：只有當你的外觀視覺效果上處於人型時才會受到此天賦的影響。當你以任何能力消除同名缺陷的影響時（包括但不限於縮胸手術、變形術、著裝全封閉盔甲等），你同時失去此天賦的一切加成。</t>
  </si>
  <si>
    <t>2級：寸草不生 
 描述：你所到之處雞犬不寧寸草不生，這都要歸功於你那毀滅性的笨手笨腳。 
 你的生理系屬性的相關檢定承受1DP減值，與1級的效果疊加。</t>
  </si>
  <si>
    <t>舊傷（-1）</t>
  </si>
  <si>
    <t>精神類天賦：</t>
  </si>
  <si>
    <t>描述：你曾經受過致命的重傷，至今仍在受其影響。 
 你的生命上限永久降低2點。</t>
  </si>
  <si>
    <t>免疫缺陷（-1）</t>
  </si>
  <si>
    <t>選擇這個缺陷後，你無法擁有“忍耐力”和“死硬”專長。</t>
  </si>
  <si>
    <t>常識（3）</t>
  </si>
  <si>
    <t>描述：你具有傑出的基礎知識，並且注重實效。通常你可以依據所掌握的那些東西在一小段時間的思考之後，做出直接且可靠的決定。 
 每場景一次，當你覺得接下來做出的一個行動可能會引起災難性後果時，或者當你覺得你在一個情節的關鍵處被徹底難倒沒了主意的時候，你可以告訴ST你現在即將要做的事情，然後ST會指出你的行為導致的直接結果，這會讓你有機會改變自己的做法，從而避免某些風險。
 需要注意的是，你每場冒險世界使用本能力的次數不得超過你傳奇智力或者傳奇感知取高+1/次。
 ST可以以任何理由禁用此天賦。</t>
  </si>
  <si>
    <t>感受（2）</t>
  </si>
  <si>
    <t>描述：你非常容易感受他人的情緒。 
 你的感受技能的相關檢定獲得3DP專長加值。</t>
  </si>
  <si>
    <t>直覺(3)</t>
  </si>
  <si>
    <t>描述：你通常都能猜對。
 當你面對選擇時，你可以要求ST讓你使用直覺。
 花費1點意志力，你進行一次感知檢定，DC=5，成功後你告知ST你要達成的目標，然後ST會從你給出個選項裡面告訴你“最快”或“最穩”或“分數最多”（由你選擇）的途徑。每使用一次，在接下來影片中你再次使用直覺時，DC+5。
 注意：你只能選擇既定的結果，如獲得某個物品，殺死某個目標等，而不能選擇概念性目標，比如我要刷最多分等。並且選項為你給ST，並非ST告訴你選項。若你的選項糟糕透頂，ST也會從裡面按照你要求的選擇最好的給你，當然也可能依然糟糕透頂。若所有選項皆無法達成目標，則ST可以告訴你，你的直覺告訴你，你所有的主意都糟糕透頂，你覺得無法達成目標。
 ST可以以任何理由禁用此天賦。</t>
  </si>
  <si>
    <t>靈感(1)</t>
  </si>
  <si>
    <t>“直覺”天賦</t>
  </si>
  <si>
    <t>描述：你的天賦如此出色純熟。 
 效果：現在你在進行直覺檢定時，獲得5個附加成功，而且你第一次使用直覺時，無需擲骰。</t>
  </si>
  <si>
    <t>社牛（3）</t>
  </si>
  <si>
    <t>不能擁有“社恐”缺陷</t>
  </si>
  <si>
    <t>描述：你就是所謂的陽角，擁有強大的社交能力。
 你的互動系檢定獲得1DP完美加值。</t>
  </si>
  <si>
    <t>病嬌（1）</t>
  </si>
  <si>
    <t>描述：你對你喜歡的存在愛到痴狂，想要將其永遠獨佔。
 你設置1至3個外貌或心理上的特點（如“白髮”“溫柔”）。
 你對符合其中至少一項的目標進行的追蹤無需判定自動成功。</t>
  </si>
  <si>
    <t>地雷系（2）</t>
  </si>
  <si>
    <t>擁有同名怪癖</t>
  </si>
  <si>
    <t>描述：任何觸發你雷點的傢伙都會讓你失去理智。
 任何目標一但觸發你的雷點，則你對其進行的攻擊檢定獲得2點附加成功。
 持續至你完全無法定位目標，並且進行一次長休後為止。</t>
  </si>
  <si>
    <t>復仇鬼（2）</t>
  </si>
  <si>
    <t>擁有“無助”缺陷</t>
  </si>
  <si>
    <t>描述：你是隻為復仇而活的復仇鬼。
 “無助”的效果改為，當你視覺線內的友方因攻擊而昏迷或死亡時，你對導致其昏迷或死亡的目標的攻擊檢定獲得3DP表現加值，傷害上限提升3點，持續至目標死亡為止。</t>
  </si>
  <si>
    <t>絕對音感（2）</t>
  </si>
  <si>
    <t>不能擁有“音痴”缺陷</t>
  </si>
  <si>
    <t>描述：你天生就擁有對於音樂和音符的絕對感受力。
 你的歌唱相關檢定和演奏相關檢定獲得1點附加成功。</t>
  </si>
  <si>
    <t>特異類天賦：</t>
  </si>
  <si>
    <t>絕處逢生（9）</t>
  </si>
  <si>
    <t>描述：當你處於瀕死的危險時,幸運女神似乎總是會向你微笑！
 在你經歷的生死關頭（尺度由ST掌握，一般為受到即死效果、本次檢定失敗就會死亡、受到一次攻擊後死亡等）中，本次檢定若為你的檢定或包含你的檢定（包括主動檢定，比如跳過懸崖，或者豁免檢定等）則你可以重投這次檢定中的所有1。若本次檢定為敵人的檢定（比如施法攻擊檢定，攻擊檢定）則其不得獲得任何加骰。本能力每場冒險世界只能使用一次。</t>
  </si>
  <si>
    <t>劇情需要（3）</t>
  </si>
  <si>
    <t>描述：你具有一種在合適的時間出現在合適的地方的能力。
 每場景一次，你能遭遇一次幸運的、但是說得通的可能性。
 細節由ST決定。例如ST可能宣佈，PC需要交涉的警衛之一恰好是你的表兄弟；或者，當PC追擊逃跑的銀行搶匪時，銀行外面正好有一輛超級跑車。ST可以裁定，此優勢的一次發動，可以代表某次跑團期間多個乃至全部的“奇跡”（例如，小鎮修車鋪裡正好有所有你修理超科技反引力腰帶所需要的零件）。
 你有權向ST建議何時及如何發動這個優勢，但是決定權在他。
 你每場冒險世界使用本能力的次數不得超過你傳奇操控+1/次。</t>
  </si>
  <si>
    <t>幸運（1）</t>
  </si>
  <si>
    <t>描述：你生來就好像被什麼存在眷顧了一般，擁有非同一般的幸運。
 當你進行一次檢定時，在檢定前，你可以選擇發動本天賦，進行2次檢定取兩者中的最好結果。
 你每場冒險世界使用本能力的次數不得超過你傳奇操控+1/次。</t>
  </si>
  <si>
    <t>幸運星（1）</t>
  </si>
  <si>
    <t>“幸運”天賦</t>
  </si>
  <si>
    <t>若一個目標處於你的操控值/米內，則你可以對該目標使用“幸運”的效果。</t>
  </si>
  <si>
    <t>長命（1）</t>
  </si>
  <si>
    <t>描述：你的壽命比常人更長。
 你在獲得此缺陷時投2D2，你的自然壽命增加骰出的數值*10年。
 特殊：此天賦可以重複選擇。</t>
  </si>
  <si>
    <t>不老（1）</t>
  </si>
  <si>
    <t>描述：你擁有不老的容顏。
 你選擇10歲～25歲之間的一個年齡，你的肉體和外貌年齡永遠保持在你選擇的年齡。你不會因為年齡的增加和衰老效果而受到任何減值。</t>
  </si>
  <si>
    <t>桃花運（4）</t>
  </si>
  <si>
    <t>描述：你總是能夠吸引來各種各樣的女性的愛慕。
 你對女性生物的互動系檢定獲得1點附加成功。</t>
  </si>
  <si>
    <t>耐摔王（1）</t>
  </si>
  <si>
    <t>當你即將承受墜落傷害時，若高度低於你的（敏捷值+力量值）*2米，你可以無需動作喊出“what can I say？”，若如此做，你可以免疫本次墜落傷害。</t>
  </si>
  <si>
    <t>法術絕緣體（3）</t>
  </si>
  <si>
    <t>前提：擁有“無魔體質”缺陷</t>
  </si>
  <si>
    <t>描述：你與法術和神秘完全無緣，因此任何法術都難以傷害你。
 你獲得【法術抗力4】。</t>
  </si>
  <si>
    <t>倖存者（6）</t>
  </si>
  <si>
    <t>描述：你能夠從各種各樣的交通事故和自然災害中獨自存活下來。
 每冒險世界1次，若你遇到交通事故，你必然能從事故中倖存，這意味著針對一次載具的碾壓，撞擊，爆炸事故，你的對抗性檢定必定成功。
 每冒險世界1次，若你遇到自然災害，你必然能逃脫到安全地帶。</t>
  </si>
  <si>
    <t>描述：你的免疫系統非常脆弱，感冒都有可能要了你的命。
 你的強韌檢定承受4DP減值。</t>
  </si>
  <si>
    <t>視力缺陷（-1）</t>
  </si>
  <si>
    <t>描述：你的眼睛有點問題，可能是近視、遠視、散光、老花、青光眼、白內障啥的。
 你獲得無法避免的5點目眩點數，無法以下述方式以外的方式移除。
 特殊：輪回之境可以修復本缺陷，這需要花費你200分。</t>
  </si>
  <si>
    <t>盲人（-2）</t>
  </si>
  <si>
    <t>描述：你完全失去了視覺。
 你陷入永久的目盲狀態。
 特殊：輪回之境可以修復本缺陷，這需要花費你200分。
 特殊：若你擁有非視力帶來的盲視或者定位能力，可以如常生效。</t>
  </si>
  <si>
    <t>聽覺缺陷（-1）</t>
  </si>
  <si>
    <t>描述：你的聽覺不是那麼靈敏，可能耳朵受過傷或有疾病。
 你獲得無法避免的5點耳鳴點數，無法以下述方式以外的方式移除。
 特殊：輪回之境可以修復本缺陷，這需要花費你200分。</t>
  </si>
  <si>
    <t>聾子（-2）</t>
  </si>
  <si>
    <t>描述：你完全失去了聽覺。
 你陷入了永久的耳聾狀態。
 特殊：輪回之境可以修復本缺陷，這需要花費你200分。</t>
  </si>
  <si>
    <t>失眠症（-1）</t>
  </si>
  <si>
    <t>描述：你睡不著覺，就這麼簡單。對於人類而言，還有什麼比這更痛苦？
 你完成長休息所需的時間增加2個小時。</t>
  </si>
  <si>
    <t>手抖（-1）</t>
  </si>
  <si>
    <t>描述：你經常因為手抖而犯錯，這已經成為你的習慣。 
 你的所有使用肢體的檢定（如攀爬，施展姿勢成分的法術，近戰攻擊等）承受1DP減值。</t>
  </si>
  <si>
    <t>無法瞄準（-1）</t>
  </si>
  <si>
    <t>描述：你無法為你的遠端攻擊提供“零點”。
 你可以如常瞄準，但是無法獲得瞄準加值，但是依然計算你的瞄準輪數。
 需要注意的是，由於你無法獲得瞄準加值，所以使用瞄準加值觸發或者轉換的類似能力，你也無法使用。</t>
  </si>
  <si>
    <t>啞巴（-2）</t>
  </si>
  <si>
    <t>描述：你因某些原因導致不能說話。
 效果：你無法使用需要語言的能力，包括使用語言的施法檢定，表達-唱歌等。
 特殊：輪回之境可以修復本缺陷，這需要花費你200分。</t>
  </si>
  <si>
    <t>侏儒身材（-3）</t>
  </si>
  <si>
    <t>前提：你不能擁有 “巨大身材”專長，並且選擇此缺陷後不得在專長中選擇“巨大身材”專長。</t>
  </si>
  <si>
    <t>描述：你身材瘦弱矮小。 
 你的體型降低為小體型（體積3），這會同步影響你的生命值調整和基礎速度調整。</t>
  </si>
  <si>
    <t>自愈障礙（-3）</t>
  </si>
  <si>
    <t>選擇這個缺陷後，你無法獲得任何加快自然恢復速度的專長或天賦。</t>
  </si>
  <si>
    <t>描述：出於疾病或其他原因，你的身體沒有什麼自愈能力，如果放任不管，手指上的一個傷口甚至會伴隨你終生。 
 你的自然恢復週期增加一倍（這代表的正常的短休或者長休之後，你只能獲得基礎好處的一半，這不會影響你其他短休和長休帶來的好處，如能量池恢復，冷卻時間的恢復等）。 
 如果有多個類似能力，則效果疊加（如一次效果減半為短休恢復變為1/2，兩次效果減半為短休恢復變為1/4） 
 如果有恢復加快的能力，則效果抵消（如一次效果減半，和一次恢復加倍，則無事發生） 
 同時你所有非物品帶來的快速醫療能力下降1點，若你擁有多個快速醫療能力，則全部下降1點。</t>
  </si>
  <si>
    <t>凝血功能障礙（-5）</t>
  </si>
  <si>
    <t>描述：你受傷就會流血，而且流血不止。 
 每當你受到傷害時，你都會獲得相當於所受傷害的不可疊加的流血點數，並且你清除流血點數是原本的兩倍，這意味著你清除流血點數時，假設原本需要1點成功數可以降低1點，則現在需要2點成功數。 
 說明：需要注意的是，這隻影響清除時的難度，不影響獲得時的豁免檢定。</t>
  </si>
  <si>
    <t>近親傳承（-1）</t>
  </si>
  <si>
    <t>描述：純血統是高貴的代名詞，遺傳病也是。
 你獲得的所有免疫疾病與毒素效果，全部降低1級。原本無支線級別的會直接消失。</t>
  </si>
  <si>
    <t>一馬平川（-0）</t>
  </si>
  <si>
    <t>只有女性你可以選擇此缺陷。此缺陷與“傲人身材”無法共存。</t>
  </si>
  <si>
    <t>描述：你的胸圍固定為A罩杯或更平。
 任何人有意或無意地提及你的罩杯時，你在本場景內所有檢定都受到1DP減值。
 特別的，只要你的感知範圍記憶體在擁有傲人身材天賦的女性，你的所有檢定再額外受到1DP減值。
 特殊：只有當你的外觀視覺效果上處於人型時才會受到此缺陷的影響。當你以任何能力消除此缺陷的影響時（包括但不限於隆胸手術、變形術、著裝全封閉盔甲等），你可以無視本缺憾，但是同時失去同名天賦的一切加成。</t>
  </si>
  <si>
    <t>傲人身材（-0）</t>
  </si>
  <si>
    <t>描述：你的胸圍固定為D罩杯或更大。 
 你失去1點基礎防禦，並且你的反射檢定承受1DP減值。 
 特殊：只有當你的外觀視覺效果上處於人型時才會受到此缺陷的影響。當你以任何能力消除此缺陷的影響時（包括但不限於隆胸手術、變形術、著裝全封閉盔甲等），你可以無視本缺憾，但是同時失去同名天賦的一切加成。</t>
  </si>
  <si>
    <t>精神類缺陷：</t>
  </si>
  <si>
    <t>不得安寧（-2）</t>
  </si>
  <si>
    <t>描述：當你年輕時，一位經常與你發生爭吵的親人去世了，他或她的靈魂未能獲得安息。現在，它那不安的靈魂總是時不時的出現在你身邊對你表示遺憾，使你經常分心。 
 你無法使用需要維持（專注）的能力，並且你那個去世的親人經常以靈體的形式打攪你（沒有資料）。</t>
  </si>
  <si>
    <t>暴飲暴食（-2）</t>
  </si>
  <si>
    <t>描述：此缺陷使你極其貪飲貪吃。如果可能，你會吃下大大超過身體需要的食物。你從不願意錯過任何一頓飯。 
 你每天必須吃完三人份的食物，並且每當你進行短休或者長休後的一個小時之內，由於暴飲暴食，你的全檢定承受1DP減值。 
 同時，當面對美食這類誘惑時，若你需要對抗不進食的話，你的對抗檢定失去一半成功數。</t>
  </si>
  <si>
    <t>社恐（-2）</t>
  </si>
  <si>
    <t>描述：你是個陰角，你害怕在公眾場合進行交流，害怕公然成為他人矚目的對象。 
 當處於你視覺線內的目標超過一個時，你對處於你視覺線內的目標進行的的風度和操控相關檢定分別受到4DP減值。</t>
  </si>
  <si>
    <t>恐蟲（-1）</t>
  </si>
  <si>
    <t>描述：你年幼時跟蟲類之間發生過的慘痛經歷使你深深地對各種蟲感到恐懼，特別是當它們彙聚成群時。 
 你在與蟲類外型的生物或者蟲類作戰時（包括並肩作戰），你的攻擊檢定承受3DP減值，基礎防禦減少3點。</t>
  </si>
  <si>
    <t>恐火（-3）</t>
  </si>
  <si>
    <t>描述：你曾經因火災或其他一些類似事件而受到嚴重燒傷，疤痕至今未退。你一旦靠近火源便會陷入恐懼之中。 
 你在對抗能夠豁免的火焰傷害或燃燒點數時，你的豁免檢定承受6DP減值。你的2米記憶體在明火時，你的全檢定承受1DP減值。</t>
  </si>
  <si>
    <t>恐火（-4）</t>
  </si>
  <si>
    <t>你的身體受到了毀滅性的燒傷，你能夠活下來已經是奇跡，哪怕一點火焰對你來說都充滿致命的危險。 
 當你受到火焰傷害或燃燒點數時，最終傷害額外受到3點火焰嚴重傷害或者燃燒點數。</t>
  </si>
  <si>
    <t>電波系（-1）</t>
  </si>
  <si>
    <t>描述：你就是會走路的毒電波發射塔，沒人能跟上你的思路。 
 你所有互動系技能的相關檢定承受1DP減值。</t>
  </si>
  <si>
    <t>空氣朋友（-2）</t>
  </si>
  <si>
    <t>描述：你有一個空氣朋友，你經常對著他說話，每個星期還要付給他50塊錢。 
 你太悲慘了，所有人由於蔑視你，在對你進行互動系相關檢定時都可以獲得2DP完美加值。</t>
  </si>
  <si>
    <t>丟三落四（-1）</t>
  </si>
  <si>
    <t>描述：你粗心大意，容易遺失重要的東西。 
 每當你離開一個逗留了一小時以上的地點，你必須投擲一個1D10，這不是一次檢定。若結果不為10，則你會隨機遺失一個物品（一整個錢包視為一個物體）。武器、盔甲等穿戴的物品不會遺失，載具也不會，但是載具變為的膠囊會遺失。</t>
  </si>
  <si>
    <t>獨來獨往（-2）</t>
  </si>
  <si>
    <t>描述：你出身於海盜、土匪或其他類似習慣於插兄弟肋骨兩刀的環境，你已經習慣什麼事情都只依靠自己。盟友的存在會很容易讓你分心，你需要擁有隻屬於你自己的空間才能將事情做到最好。
 效果：你和盟友一同行動時，你的全檢定承受2DP減值。
 特殊：由於本缺憾會影響玩家集體行動導致分團而影響劇情，甚至會影響PC團結，所以ST有權禁用本缺憾。</t>
  </si>
  <si>
    <t>反應遲鈍（-1）</t>
  </si>
  <si>
    <t>描述：你對於察覺危險總是慢一拍。
 你的先攻檢定承受3點減值。</t>
  </si>
  <si>
    <t>感情用事（-1）</t>
  </si>
  <si>
    <t>描述：你過於感性，總是在不恰當的時機走神。
 若你跟原本與你態度友善或以上的目標作戰，你在戰鬥中的全檢定承受2DP減值。</t>
  </si>
  <si>
    <t>傲慢（-1）</t>
  </si>
  <si>
    <t>描述：你覺得只有那些與你相近的人才值得信任。你以一種相當惡劣的態度對待那些與你不同種族、民族或國籍的人。
 效果：你在與符合上述類型的人物進行非脅迫以外的互動系技能的相關檢定承受2DP減值。</t>
  </si>
  <si>
    <t>古板誠實（-1）</t>
  </si>
  <si>
    <t>描述：你非常古板守法，同時儘量使別人也守法。在一個沒有法律約束的地方，你仍然“古板”守法——像在家裡一樣用法律約束自己的行為。而且你認為別人是誠實的，除非意外。
 你進行掩飾檢定時，失去一半成功數。
 並且接下來一天之內，你的全檢定承受1DP減值。</t>
  </si>
  <si>
    <t>好奇心（-1）</t>
  </si>
  <si>
    <t>描述：你天性好奇。這不是所有人均擁有的一般的好奇（如：那個洞裡有什麼？飛碟從哪裡飛來的？），而是對真正的事物的探索（如：如果按下這個鍵，會有什麼發生？）。
 效果：當你面對有趣或者位置的物品、地點等情況時，不論是否可能有危險，你都會去檢查、試探。若其沒有去，則接下來的一天之內，你的全檢定承受2DP減值。</t>
  </si>
  <si>
    <t>嬌生慣養（-1）</t>
  </si>
  <si>
    <t>描述：你在優越環境下成長，對暴力一無所知。你得經歷一些事故才能學會適應它。
 當你受到傷害時，你立即對對你造成傷害的目標陷入不可避免的驚懼狀態，並且無論如何，你無法進行本能覺醒檢定。
 特殊：當第一場冒險世界結束後，此缺陷失效。</t>
  </si>
  <si>
    <t>精神緊張（-1）</t>
  </si>
  <si>
    <t>描述：你總是處於高度緊張的狀態，警惕著周圍可能出現著的危險。 
 你的感知相關檢定受到2DP減值。</t>
  </si>
  <si>
    <t>精神緊張（-2）</t>
  </si>
  <si>
    <t>描述：即使你明知道自己處於安全的地方也完全無法控制自己的心態。 
 你的自然恢復週期增加一倍（這代表的正常的短休或者長休之後，你只能獲得基礎好處的一半，這不會影響你其他短休和長休帶來的好處，如能量池恢復，冷卻時間的恢復等）。 
 如果有多個類似能力，則效果疊加（如一次效果減半為短休恢復變為1/2，兩次效果減半為短休恢復變為1/4） 
 如果有恢復加快的能力，則效果抵消（如一次效果減半，和一次恢復加倍，則無事發生）</t>
  </si>
  <si>
    <t>慢半拍（-1）</t>
  </si>
  <si>
    <t>描述：你經常在急轉向的時候轉錯方向。
 你的反射檢定承受4DP減值。</t>
  </si>
  <si>
    <t>迷信（-1）</t>
  </si>
  <si>
    <t>描述：你成長的環境中所有人都覺得那些超自然力量都是危險的，不論源頭。你甚至不能使你自己相信那些對你有益的法術。
 每當你被一種其他你施展有持續時間且無害（包括增益效果）的法術影響（包括不限於技能，法術等），則你在該效果的持續時間內的全檢定獲得1DP減值，持續到該能力消失為止。
 你自己對自己施放的增益法術不受此限制。</t>
  </si>
  <si>
    <t>懦夫斯基（-1）</t>
  </si>
  <si>
    <t>描述：你是個不折不扣的懦夫，嚇尿對你來說不是流行詞，而是習慣。
 在戰鬥中你必須擁有絕對的優勢，這表現為若你不處於隱形，部分掩蔽，全力防禦或者格擋之一的情況下，你的攻擊檢定，施法檢定，心靈檢定或者其他主動攻擊類檢定承受4DP減值。</t>
  </si>
  <si>
    <t>懦弱（-1）</t>
  </si>
  <si>
    <t>描述：你完全不擅長戰鬥，連殺雞都不敢。 
 你的所有攻擊檢定承受12DP減值。 
 特殊：開啟本能覺醒後移除本缺憾。</t>
  </si>
  <si>
    <t>偏執（-2）</t>
  </si>
  <si>
    <t>描述：你總是覺得別人在利用你，所以你很難真正相信他人。
 針對任何目標為“自願”的目標時，你永遠是不“自願”的。</t>
  </si>
  <si>
    <t>強迫症（-2）</t>
  </si>
  <si>
    <t>描述：你有著難以抗拒的強迫行為，可能是每隔兩小時就必須洗手，也可能是每次開槍後都要念哀悼詞。
 強迫症如同上癮一般，選擇一件事作為你的強迫症，該事情必須在處於某些特定條件下完成，如短休或者處於陽光下，擁有20世紀的居住環境等要素。
 處於該要素下，其每4小時需要進行一次本行動。
 若其失敗（未完成該事），則接下來全檢定承受1DP減值，直至完成為止。
 若其一直失敗，則該減值可以疊加，最多疊加至6點。
 例：每4小時必須洗手（這要求必須擁有20世紀居住環境的乾淨水）
 例：必須吃零食（每4小時必須短休吃零食）
 例：日光浴（每4小時必須曬太陽）
 例：戰鬥前祈禱（每次戰鬥的第一回合必須自動跳過，這是可以主動完成的，所以必須進行）
 特殊：由於本能力難以量化或者容易出現爭執，ST有權禁用本能力。</t>
  </si>
  <si>
    <t>情感淡漠（-1）</t>
  </si>
  <si>
    <t>描述：你沉默寡言，面無表情，不知道情感為何物，更不知如何表達自己的情感。你和三無少女的區別在於，三無少女可能很萌，但你未必。 
 效果：你的意志豁免檢定承受4DP減值。</t>
  </si>
  <si>
    <t>嗜虐（-1）</t>
  </si>
  <si>
    <t>描述：你從小就熱愛將對手身心都徹底打垮並以之為榮，你發現你特別喜歡將敵人的臉整個踩進泥巴裡去。
 效果：當你處於戰鬥時，如果你發現一個陷入重傷，昏迷，無助等類似情況下的敵人時，你必須攻擊該目標，若你無法攻擊到該目標，則你必須以你最大的移動方式向該目標前進，若有多個目標，則必須選擇最近的目標前進。
 若你拒絕，則你失去全部剩餘意志力，並且接下來的冒險世界中你無法恢復意志力。</t>
  </si>
  <si>
    <t>色慾（-1）</t>
  </si>
  <si>
    <t>描述：你總是執著於男女之間的情慾，對於異性你總是抱有著一種異樣的看法。
 效果：你在對於與你性別不同的人物進行互動系技能的相關檢定承受2DP減值。</t>
  </si>
  <si>
    <t>嫉妒（-1）</t>
  </si>
  <si>
    <t>描述：你總是覺得別人的東西才是最好的，並且你總是試圖想要得到它。
 效果：當有其他生物在你面前炫耀他所擁有的而你沒有的某樣物品或能力時，你會想盡辦法的獲得它，否則你在接下來的一天全檢定承受1DP減值，可無限疊加，每次長休可以降低1點本能力帶來的減值。</t>
  </si>
  <si>
    <t>憤怒（-1）</t>
  </si>
  <si>
    <t>描述：當某件事情沒有如你所願或是發生了你沒有預料到的情況時（由st判定），你總是特別容易生氣。
 效果：當你身邊的隊友死亡，你自身受到傷害，你的能力被破壞（如召喚物死亡，你造成不良狀態被解除，或者直接失效），你的計畫沒有按預期實現，錯過獎勵，你的攻擊沒有造成傷害等情況時，你將不可避免的失去1點意志力。
 上述每個效果每場冒險世界只會觸發一次，ST可根據情況調整具體的憤怒理由。</t>
  </si>
  <si>
    <t>懶惰（-2）</t>
  </si>
  <si>
    <t>描述：你實在太懶了，很多事情讓你覺得過於麻煩，以至於你根本不想去做，你也從不會主動提出去做某件事。
 效果：你在面對任何行動時總是不會第一個去做，你的先攻承受3點減值，並且你不會使用任何增幅效果。</t>
  </si>
  <si>
    <t>受虐狂（-1）</t>
  </si>
  <si>
    <t>描述：你就是傳說中的抖M。 
 當你的生命值全部為完好生命值時，你的全檢定承受3DP減值。 
 當你的生命值最糟糕的生命值為衝擊傷害時，你的全檢定承受2DP減值。 
 當你的生命值最糟糕的生命值為嚴重傷害時，你的全檢定承受1DP減值。</t>
  </si>
  <si>
    <t>貪婪（-1）</t>
  </si>
  <si>
    <t>描述：你對財富垂涎欲滴。面對任何時候提供的財富，如，工作後的報酬、冒險所得、犯罪的髒物或者作為誘餌的金錢，包括支線和分數等。
 你對任何提供支線或者豐厚報酬的行為趨之若鶩，這表現為以下幾個方面：
 支線任務只要你知道則必須完成，若失敗，則你下一場冒險世界無法恢復意志力。
 提供支線的強大敵人必須由你親手結果，若失敗，則你立即失去1點意志力。
 特殊：本缺憾並不代表你不樂意分享，只是能撈到手的一定要撈到手。</t>
  </si>
  <si>
    <t>天然呆（-2）</t>
  </si>
  <si>
    <t>描述：天然是不需要理由的！你太天然了！ 
 效果：你的智力和感知檢定承受3DP的減值。</t>
  </si>
  <si>
    <t>天真（-1）</t>
  </si>
  <si>
    <t>描述：你認為所有人都不是天生的壞人，也許有人會嘲笑你那錯誤的樂觀，但你並不在乎。 
 你在對抗目標“掩飾”“盜竊”“隱藏”的相關技能的檢定中承受4DP減值。</t>
  </si>
  <si>
    <t>文盲（-1）</t>
  </si>
  <si>
    <t>描述：你不識字，哪怕是自己的母語。
 此缺陷會導致你與許多強化，特別是文字類的，如魔導書，無緣。
 特殊：你可以花費3XP來消除本缺陷。</t>
  </si>
  <si>
    <t>疑慮（-1）</t>
  </si>
  <si>
    <t>描述：你缺乏自信，總覺得自己能力不足。 
 當你進行的任意主動檢定失敗（包括攻擊未命中）時，你接下來的全檢定上承受等於1DP減值，可以疊加，持續至一次短休息。</t>
  </si>
  <si>
    <t>戰鬥戰慄（-1）</t>
  </si>
  <si>
    <t>描述：你會因戰鬥而顫抖和感到噁心。 
 每當你進行1輪戰鬥，則回合結束時你獲得1點可以疊加的不可避免的噁心點數。</t>
  </si>
  <si>
    <t>無助（-2）</t>
  </si>
  <si>
    <t>你曾經目睹巨大的傷害降臨到你愛人身上，但你卻無能為力。當盟友處於可怕的境地時，這種行動能力的喪失有時會再次出現。 
 效果：在每次戰鬥中，當有友方目標因攻擊而昏迷或死亡時，你會不可避免的陷入驚懼狀態，直到你的下一回合結束。</t>
  </si>
  <si>
    <t>急躁（-3）</t>
  </si>
  <si>
    <t>描述：你總是一有機會就投入戰鬥，等待別人行動會讓你感到沮喪。 
 你不能選擇延遲先攻或使用任何準備動作，如果你是在一輪中最後一個行動的，你在全檢定上承受1DP減值。</t>
  </si>
  <si>
    <t>名聲狼藉（-1）</t>
  </si>
  <si>
    <t>描述：無論是否屬實，你都被公開指控犯下一起嚴重犯罪。無論你走到哪裡，都會引起人們的注意，並有可能在犯罪發生的管轄區被監禁，甚至更糟。 
 效果：你和你的盟友在與守法公民互動時，任何互動系檢定會承受2DP減值（除了指控你的當權者的敵人）。</t>
  </si>
  <si>
    <t>信息超載（-2）</t>
  </si>
  <si>
    <t>描述：你查閱過成千上萬條間諜報告，許多的結果是基於錯誤的推論或甚至是敵對間諜團體故意散佈虛假故事。由此時起，你腦海中虛假的知識跟正確的資訊一樣多，而你不能永遠記住哪個是哪個。 
 你的學識相關檢定承受4DP減值，當你的學識相關檢定失敗5點或更多時，你會能回憶起與事實截然相反的資訊。</t>
  </si>
  <si>
    <t>饞癆（-1）</t>
  </si>
  <si>
    <t>描述：你習慣盡情享用生活中的美好事物，你發現沒了這些別致的事物生活過得特別費勁。 
 你在劇情世界中使用貨品和服務時會多花費10％的貨幣作為額外享受的消耗（而且不能由盟友支付），在防止饑餓和口渴時你須要正常2倍的食物和飲料。</t>
  </si>
  <si>
    <t>花痴（-1）</t>
  </si>
  <si>
    <t>描述：你的整個腦部都被另一個人的身影所佔據，當你遠離它時你會陷入沮喪。 
 效果：由ST為你選擇一個可以戀愛的目標。在每天開始時，如果你遠離這個目標超過1000米，你的先攻承受3點減值，你的堅定立場檢定承受3DP減值。如果你被甩了或失戀了，該缺陷帶來的減值變為永久的。</t>
  </si>
  <si>
    <t>緊張（-1）</t>
  </si>
  <si>
    <t>你從小在死亡或苛政的威脅下長大，你的神經一直都崩得緊緊的。 
 當你被突襲時，你陷入S級措手不及，而非無支線的。</t>
  </si>
  <si>
    <t>不注意周圍（-1）</t>
  </si>
  <si>
    <t>描述：不管是你喜歡做白日夢還是習慣於將一切都交託於他人，總之你從不注意你周圍的環境和其他人。 
 你的察言觀色和基於視覺的偵查檢定承受4DP減值。</t>
  </si>
  <si>
    <t>過度保護（-1）</t>
  </si>
  <si>
    <t>描述：在你年輕時，你的朋友或愛人受到重傷或死亡。你總是因為自己沒能到場而自責，即使就算你在場也無能為力。 
 如果你的一個盟友因生命值傷害而陷入昏迷或死亡，你的攻擊檢定和技能檢定都會受3DP減值，持續一個場景。</t>
  </si>
  <si>
    <t>權欲（-1）</t>
  </si>
  <si>
    <t>描述：你沉迷於權力。
 如果一個生物對你承諾以權力和財富，你對其的意志豁免和堅定立場承受6DP減值。</t>
  </si>
  <si>
    <t>自負（-2）</t>
  </si>
  <si>
    <t>描述：你對他人對你的行為進行回饋的態度非常敏感。 
 效果：每當你在互動系的檢定上失敗，你在接下來的24小時內所有互動系檢定都承受2DP減值，可以疊加。</t>
  </si>
  <si>
    <t>隱秘恥辱（-3）</t>
  </si>
  <si>
    <t>描述：你非常害怕公眾、群體或重要人物（如你的騎士團、你的領主、你的家人或你的愛人）知道你的不可告人的恥辱真相。 
 你與ST共同定製一個你的恥辱過去（如被哥布林抓走之類的），你在對抗恐懼點數的豁免檢定中承受3DP減值，你在對抗任何脅迫的相關檢定時，承受3DP減值。如果你有對恐懼點數免疫的能力，那麼你不用受到這些懲罰，而是失去對恐懼點數的免疫能力（無論其來源如何）。如果他人得知了你的恥辱過去，則你對那個人的互動系檢定承受3DP減值。</t>
  </si>
  <si>
    <t>怕黑（-1）</t>
  </si>
  <si>
    <t>描述：你在黑暗中有過無法遺忘的恐怖遭遇，至今你一進入黑暗環境就會覺得快要死到臨頭。 
 當你處於光照條件為昏暗或黑暗的環境時，你的三豁免檢定承受3DP減值。</t>
  </si>
  <si>
    <t>特異類缺陷：</t>
  </si>
  <si>
    <t>幸運E（-1）</t>
  </si>
  <si>
    <t>描述：你很倒楣，事情總在最糟糕的時候變得更糟。 
 你進行機運骰時，若為成功則為失敗，若為失敗則為大失敗。</t>
  </si>
  <si>
    <t>短命（-1）</t>
  </si>
  <si>
    <t>描述：你的壽命比常人更短。 
 你在獲得此缺陷時投2D3，你的自然壽命減少骰出的數值*10年。 
 特殊：此缺陷可以重複選擇，並且選擇本缺陷後，你無法通過任何方式變得壽命無限。</t>
  </si>
  <si>
    <t>受動物厭惡者（-1）</t>
  </si>
  <si>
    <t>描述：你天生就受到動物們的討厭。 
 所有動物對你的初始態度下降一級，並且對你態度為不為敵對的自然本質的動物們不會自願近接你的10米之內，除非你或那動物的主人成功通過DC 10的馴養動物、騎乘戰鬥或改善動物態度。</t>
  </si>
  <si>
    <t>汙穢烙印（-1）</t>
  </si>
  <si>
    <t>描述：你的血肉上天生烙有一個邪惡的印記，其可能來自超越心智的恐怖。 
 你需要選擇印記所處的部位。 
 若此印記在你的手，你的敏捷相關檢定承受2DP減值。 
 若此印記在你的臉，你的風度相關檢定承受2DP減值。 
 若此印記在你的軀幹，你的力量相關檢定承受2DP減值。</t>
  </si>
  <si>
    <t>神隱（-2）</t>
  </si>
  <si>
    <t>描述：當你還是一個孩子時，你曾被神秘的存在拐走了一段時間。當你回來以後，你仍對那段經歷念念不忘。你渴望回到那個地方，並覺得凡人的世界如此沉悶而令人作嘔，所以你平時毫無食慾，並且對各種奇怪景象視若無睹。 
 效果：你對抗疾病、幻覺和所有類型的毒藥的豁免承受3DP減值。你對抗妖怪施放的法術、能力和技能進行的豁免承受3DP減值。</t>
  </si>
  <si>
    <t>路痴（-1）</t>
  </si>
  <si>
    <t>描述：你完全沒有方向感，在直路上都能迷路。 
 你的追蹤檢定自動失敗，當你和你的隊友分頭行動時，你無法通過移動的方式主動和隊友匯合。</t>
  </si>
  <si>
    <t>音痴（-2）</t>
  </si>
  <si>
    <t>描述：你對音樂本身完全沒有一點感覺。 
 你進行的歌唱相關檢定和演奏相關檢定自動失敗，你無法受到任何基於歌唱和演奏相關能力的正面影響。</t>
  </si>
  <si>
    <t>女難之相（-3）</t>
  </si>
  <si>
    <t>描述：又稱桃花劫，你總是被各種意義上不得了的女人纏上。
 任何女性生物對你進行的互動檢定獲得2點附加成功，任何女性生物對你進行的尾隨（追蹤檢定）自動成功。</t>
  </si>
  <si>
    <t>無魔體質（-4）</t>
  </si>
  <si>
    <t>描述：你天生就和魔法神秘之類的東西無緣，即使你來到了異世界也一樣。 
 效果：你無法施法，你進行神秘學相關技能的檢定時自動失敗，你無法用神秘學代替任何技能進行檢定。</t>
  </si>
  <si>
    <t>載具殺手（-4）</t>
  </si>
  <si>
    <t>描述：你乘坐的任何載具都難逃一劫，你擁有人稱“載具殺手”的體質。
 效果：當你在任何非戰鬥場景中乘坐載具時，載具必然會遇到可能導致其本身被摧毀的事故（天災或人禍），而不會平安到達目的地，具體發生什麼樣的事故由ST決定。
 當你在戰鬥中乘坐載具時，你每輪結束時投一個D2，如果結果為2，則你乘坐的載具癱瘓至戰鬥結束。</t>
  </si>
  <si>
    <t>機械白痴（-4）</t>
  </si>
  <si>
    <t>描述：你完全就不會操作電子設備，任何你打算使用的電器都會在你手中損壞。你擁有人稱“機械白痴”的體質。
 效果：你使用任何科技本質的物品，或消耗電力的物品時，你骰一個D10，如果結果不為10，物品發生故障在1分鐘內無法使用，如果結果為10，物品被摧毀。</t>
  </si>
  <si>
    <t>養啥死啥（-1）</t>
  </si>
  <si>
    <t>描述：你在養寵物方面就是個天煞孤星。
 你所擁有的任何非人寵物、非人動物夥伴、非人坐騎、非人隨從都會在一個星期～一個月內意外死亡。</t>
  </si>
  <si>
    <t>###</t>
  </si>
  <si>
    <t>【攻擊】</t>
  </si>
  <si>
    <t>人物範本 x級</t>
  </si>
  <si>
    <t>```</t>
  </si>
  <si>
    <t>標準動作-xx攻擊</t>
  </si>
  <si>
    <t>【概念段】</t>
  </si>
  <si>
    <t>Xdp+Y=x屬性+x技能+xL武器+x專長+x其他</t>
  </si>
  <si>
    <t>生物類型：xxxx</t>
  </si>
  <si>
    <t>傷害上限X=x屬性+x技能+x武器+x其他</t>
  </si>
  <si>
    <t>體型：xx(體積xx)</t>
  </si>
  <si>
    <t>觸及範圍X米=0/3武器體積+2體型</t>
  </si>
  <si>
    <t>基礎速度：xx米</t>
  </si>
  <si>
    <t>``````</t>
  </si>
  <si>
    <t>先攻：xx</t>
  </si>
  <si>
    <t>浮動+X=+3完美[意志力]</t>
  </si>
  <si>
    <t>觸及範圍：xx米</t>
  </si>
  <si>
    <t>敏感範圍：xx米</t>
  </si>
  <si>
    <t>攻擊附帶特性：</t>
  </si>
  <si>
    <t>描述：xx</t>
  </si>
  <si>
    <t>【防禦】</t>
  </si>
  <si>
    <t>(不可見)</t>
  </si>
  <si>
    <t>無動作-無格擋防禦</t>
  </si>
  <si>
    <t>生命值：xx</t>
  </si>
  <si>
    <t>X=x基礎+x閃避+x盔甲+x天生</t>
  </si>
  <si>
    <t>意志力：xx</t>
  </si>
  <si>
    <t>移動動作-xx格擋</t>
  </si>
  <si>
    <t>【屬性段】</t>
  </si>
  <si>
    <t>X=x基礎+x閃避+x格擋+x盾牌+x盔甲+x天生</t>
  </si>
  <si>
    <t>力量0- 智力0- 風度0-</t>
  </si>
  <si>
    <t>敏捷0- 感知0- 操控0-</t>
  </si>
  <si>
    <t>標準動作-全力防禦</t>
  </si>
  <si>
    <t>耐力0- 決心0- 沉著0-</t>
  </si>
  <si>
    <t>用於抵消範圍傷害或者範圍效果的相關檢定結果中的所有成功數翻倍(包括自然成功數和附加成功數)</t>
  </si>
  <si>
    <t>【技能段】</t>
  </si>
  <si>
    <t>-生理系：運動0()，肉搏0()，駕駛0()，槍械0()，竊盜0()，隱藏0()，求生0()，白刃0()</t>
  </si>
  <si>
    <t>-心智系：學識0()，電腦0()，手藝-0，調查0()，醫學0()，神秘0()，科學0()</t>
  </si>
  <si>
    <t>-互動系：馴獸0()，感受0()，表達-0，脅迫0()，交際0()，掩飾0()</t>
  </si>
  <si>
    <t>附加成功X=x傳奇敏捷+x傳奇感知</t>
  </si>
  <si>
    <t>防禦附帶特性：</t>
  </si>
  <si>
    <t>【攻擊能力段】</t>
  </si>
  <si>
    <t>【其他】</t>
  </si>
  <si>
    <t>意志豁免Xdp+Y</t>
  </si>
  <si>
    <t>反射豁免Xdp+Y</t>
  </si>
  <si>
    <t>強韌豁免Xdp+Y</t>
  </si>
  <si>
    <t>心靈檢定Xdp+Y</t>
  </si>
  <si>
    <t>【防禦能力段】</t>
  </si>
  <si>
    <t>【特殊能力段】</t>
  </si>
  <si>
    <t>專長(已計入)：</t>
  </si>
  <si>
    <t>角色名稱</t>
  </si>
  <si>
    <t>生命狀況</t>
  </si>
  <si>
    <t>角色狀態</t>
  </si>
  <si>
    <t>意志力</t>
  </si>
  <si>
    <t>熙瑪</t>
  </si>
  <si>
    <t>生命值</t>
  </si>
  <si>
    <t>生命狀態</t>
  </si>
  <si>
    <t>總上限</t>
  </si>
  <si>
    <t>已消耗</t>
  </si>
  <si>
    <t>意志力加值</t>
  </si>
  <si>
    <r>
      <rPr>
        <rFont val="Arial"/>
        <b/>
        <color rgb="FFFF0000"/>
        <sz val="12.0"/>
      </rPr>
      <t xml:space="preserve">缺陷
</t>
    </r>
    <r>
      <rPr>
        <rFont val="Arial"/>
        <color theme="1"/>
        <sz val="12.0"/>
      </rPr>
      <t>等級</t>
    </r>
  </si>
  <si>
    <r>
      <rPr>
        <rFont val="Arial"/>
        <b/>
        <color rgb="FFFF0000"/>
        <sz val="12.0"/>
      </rPr>
      <t xml:space="preserve">缺陷
</t>
    </r>
    <r>
      <rPr>
        <rFont val="Arial"/>
        <color theme="1"/>
        <sz val="12.0"/>
      </rPr>
      <t>等級</t>
    </r>
  </si>
  <si>
    <r>
      <rPr>
        <rFont val="Arial"/>
        <b/>
        <color rgb="FFFF0000"/>
        <sz val="12.0"/>
      </rPr>
      <t>缺陷</t>
    </r>
    <r>
      <rPr>
        <rFont val="Arial"/>
        <color theme="1"/>
        <sz val="12.0"/>
      </rPr>
      <t>名稱</t>
    </r>
  </si>
  <si>
    <r>
      <rPr>
        <rFont val="Arial"/>
        <b/>
        <color rgb="FFFF0000"/>
        <sz val="12.0"/>
      </rPr>
      <t>缺陷</t>
    </r>
    <r>
      <rPr>
        <rFont val="Arial"/>
        <color theme="1"/>
        <sz val="12.0"/>
      </rPr>
      <t>名稱</t>
    </r>
  </si>
  <si>
    <r>
      <rPr>
        <rFont val="Arial"/>
        <b/>
        <color rgb="FFFF0000"/>
        <sz val="12.0"/>
      </rPr>
      <t>缺陷</t>
    </r>
    <r>
      <rPr>
        <rFont val="Arial"/>
        <color theme="1"/>
        <sz val="12.0"/>
      </rPr>
      <t>效果</t>
    </r>
  </si>
  <si>
    <r>
      <rPr>
        <rFont val="Arial"/>
        <b/>
        <color rgb="FFFF0000"/>
        <sz val="12.0"/>
      </rPr>
      <t>缺陷</t>
    </r>
    <r>
      <rPr>
        <rFont val="Arial"/>
        <color theme="1"/>
        <sz val="12.0"/>
      </rPr>
      <t>效果</t>
    </r>
  </si>
  <si>
    <r>
      <rPr>
        <rFont val="Arial"/>
        <b/>
        <color rgb="FFFF00FF"/>
        <sz val="12.0"/>
      </rPr>
      <t>天賦</t>
    </r>
    <r>
      <rPr>
        <rFont val="Arial"/>
        <color theme="1"/>
        <sz val="12.0"/>
      </rPr>
      <t xml:space="preserve">
等級</t>
    </r>
  </si>
  <si>
    <r>
      <rPr>
        <rFont val="Arial"/>
        <b/>
        <color rgb="FFFF00FF"/>
        <sz val="12.0"/>
      </rPr>
      <t>天賦</t>
    </r>
    <r>
      <rPr>
        <rFont val="Arial"/>
        <color theme="1"/>
        <sz val="12.0"/>
      </rPr>
      <t>名稱</t>
    </r>
  </si>
  <si>
    <r>
      <rPr>
        <rFont val="Arial"/>
        <b/>
        <color rgb="FFFF00FF"/>
        <sz val="12.0"/>
      </rPr>
      <t>天賦</t>
    </r>
    <r>
      <rPr>
        <rFont val="Arial"/>
        <color theme="1"/>
        <sz val="12.0"/>
      </rPr>
      <t xml:space="preserve">
等級</t>
    </r>
  </si>
  <si>
    <r>
      <rPr>
        <rFont val="Arial"/>
        <b/>
        <color rgb="FFFF00FF"/>
        <sz val="12.0"/>
      </rPr>
      <t>天賦</t>
    </r>
    <r>
      <rPr>
        <rFont val="Arial"/>
        <color theme="1"/>
        <sz val="12.0"/>
      </rPr>
      <t>名稱</t>
    </r>
  </si>
  <si>
    <r>
      <rPr>
        <rFont val="Arial"/>
        <b/>
        <color rgb="FFFF00FF"/>
        <sz val="12.0"/>
      </rPr>
      <t>天賦</t>
    </r>
    <r>
      <rPr>
        <rFont val="Arial"/>
        <color theme="1"/>
        <sz val="12.0"/>
      </rPr>
      <t>效果</t>
    </r>
  </si>
  <si>
    <r>
      <rPr>
        <rFont val="Arial"/>
        <b/>
        <color rgb="FFFF00FF"/>
        <sz val="12.0"/>
      </rPr>
      <t>天賦</t>
    </r>
    <r>
      <rPr>
        <rFont val="Arial"/>
        <color theme="1"/>
        <sz val="12.0"/>
      </rPr>
      <t>效果</t>
    </r>
  </si>
  <si>
    <t>玩家名稱</t>
  </si>
  <si>
    <t>性別</t>
  </si>
  <si>
    <t>黯譫無望的”明日”</t>
  </si>
  <si>
    <t>狐狸</t>
  </si>
  <si>
    <t>女</t>
  </si>
  <si>
    <t>總生命</t>
  </si>
  <si>
    <t>能量池/刻度</t>
  </si>
  <si>
    <t>總上限</t>
  </si>
  <si>
    <t>不良狀態/其他效果</t>
  </si>
  <si>
    <r>
      <rPr>
        <rFont val="Arial"/>
        <b/>
        <color rgb="FFFF0000"/>
        <sz val="12.0"/>
      </rPr>
      <t xml:space="preserve">缺陷
</t>
    </r>
    <r>
      <rPr>
        <rFont val="Arial"/>
        <color theme="1"/>
        <sz val="12.0"/>
      </rPr>
      <t>等級</t>
    </r>
  </si>
  <si>
    <r>
      <rPr>
        <rFont val="Arial"/>
        <b/>
        <color rgb="FFFF0000"/>
        <sz val="12.0"/>
      </rPr>
      <t>缺陷</t>
    </r>
    <r>
      <rPr>
        <rFont val="Arial"/>
        <color theme="1"/>
        <sz val="12.0"/>
      </rPr>
      <t>名稱</t>
    </r>
  </si>
  <si>
    <r>
      <rPr>
        <rFont val="Arial"/>
        <b/>
        <color rgb="FFFF0000"/>
        <sz val="12.0"/>
      </rPr>
      <t>缺陷</t>
    </r>
    <r>
      <rPr>
        <rFont val="Arial"/>
        <color theme="1"/>
        <sz val="12.0"/>
      </rPr>
      <t>效果</t>
    </r>
  </si>
  <si>
    <r>
      <rPr>
        <rFont val="Arial"/>
        <b/>
        <color rgb="FFFF00FF"/>
        <sz val="12.0"/>
      </rPr>
      <t>天賦</t>
    </r>
    <r>
      <rPr>
        <rFont val="Arial"/>
        <color theme="1"/>
        <sz val="12.0"/>
      </rPr>
      <t xml:space="preserve">
等級</t>
    </r>
  </si>
  <si>
    <r>
      <rPr>
        <rFont val="Arial"/>
        <b/>
        <color rgb="FFFF00FF"/>
        <sz val="12.0"/>
      </rPr>
      <t>天賦</t>
    </r>
    <r>
      <rPr>
        <rFont val="Arial"/>
        <color theme="1"/>
        <sz val="12.0"/>
      </rPr>
      <t>名稱</t>
    </r>
  </si>
  <si>
    <r>
      <rPr>
        <rFont val="Arial"/>
        <b/>
        <color rgb="FFFF00FF"/>
        <sz val="12.0"/>
      </rPr>
      <t>天賦</t>
    </r>
    <r>
      <rPr>
        <rFont val="Arial"/>
        <color theme="1"/>
        <sz val="12.0"/>
      </rPr>
      <t>效果</t>
    </r>
  </si>
  <si>
    <t>身高</t>
  </si>
  <si>
    <t>體重</t>
  </si>
  <si>
    <t>年齡</t>
  </si>
  <si>
    <t>名稱</t>
  </si>
  <si>
    <t>已消耗/累積</t>
  </si>
  <si>
    <t>上限</t>
  </si>
  <si>
    <t>備註</t>
  </si>
  <si>
    <t>狀態</t>
  </si>
  <si>
    <t>關鍵抵抗屬性</t>
  </si>
  <si>
    <t>點數</t>
  </si>
  <si>
    <t>157cm</t>
  </si>
  <si>
    <t>43kg</t>
  </si>
  <si>
    <t>完好</t>
  </si>
  <si>
    <t>精神力</t>
  </si>
  <si>
    <r>
      <rPr>
        <rFont val="Arial"/>
        <b/>
        <color rgb="FFFF0000"/>
        <sz val="12.0"/>
      </rPr>
      <t xml:space="preserve">缺陷
</t>
    </r>
    <r>
      <rPr>
        <rFont val="Arial"/>
        <color theme="1"/>
        <sz val="12.0"/>
      </rPr>
      <t>等級</t>
    </r>
  </si>
  <si>
    <t>cm</t>
  </si>
  <si>
    <r>
      <rPr>
        <rFont val="Arial"/>
        <b/>
        <color rgb="FFFF0000"/>
        <sz val="12.0"/>
      </rPr>
      <t>缺陷</t>
    </r>
    <r>
      <rPr>
        <rFont val="Arial"/>
        <color theme="1"/>
        <sz val="12.0"/>
      </rPr>
      <t>名稱</t>
    </r>
  </si>
  <si>
    <t>kg</t>
  </si>
  <si>
    <r>
      <rPr>
        <rFont val="Arial"/>
        <b/>
        <color rgb="FFFF0000"/>
        <sz val="12.0"/>
      </rPr>
      <t>缺陷</t>
    </r>
    <r>
      <rPr>
        <rFont val="Arial"/>
        <color theme="1"/>
        <sz val="12.0"/>
      </rPr>
      <t>效果</t>
    </r>
  </si>
  <si>
    <r>
      <rPr>
        <rFont val="Arial"/>
        <b/>
        <color rgb="FFFF00FF"/>
        <sz val="12.0"/>
      </rPr>
      <t>天賦</t>
    </r>
    <r>
      <rPr>
        <rFont val="Arial"/>
        <color theme="1"/>
        <sz val="12.0"/>
      </rPr>
      <t xml:space="preserve">
等級</t>
    </r>
  </si>
  <si>
    <r>
      <rPr>
        <rFont val="Arial"/>
        <b/>
        <color rgb="FFFF00FF"/>
        <sz val="12.0"/>
      </rPr>
      <t>天賦</t>
    </r>
    <r>
      <rPr>
        <rFont val="Arial"/>
        <color theme="1"/>
        <sz val="12.0"/>
      </rPr>
      <t>名稱</t>
    </r>
  </si>
  <si>
    <r>
      <rPr>
        <rFont val="Arial"/>
        <b/>
        <color rgb="FFFF00FF"/>
        <sz val="12.0"/>
      </rPr>
      <t>天賦</t>
    </r>
    <r>
      <rPr>
        <rFont val="Arial"/>
        <color theme="1"/>
        <sz val="12.0"/>
      </rPr>
      <t>效果</t>
    </r>
  </si>
  <si>
    <t>夜視（1）</t>
  </si>
  <si>
    <t>外貌/特徵</t>
  </si>
  <si>
    <t>星之力</t>
  </si>
  <si>
    <t>雪白的肌膚、雪白的髮色跟雪白的眼眸，看起來略為纖細，但身體比想像中要強壯</t>
  </si>
  <si>
    <t>衝擊</t>
  </si>
  <si>
    <t>關鍵抵抗屬性</t>
  </si>
  <si>
    <t>顏料</t>
  </si>
  <si>
    <t>法力</t>
  </si>
  <si>
    <t>綁定：耐久、智力</t>
  </si>
  <si>
    <t>性格/個性</t>
  </si>
  <si>
    <t>嚴重</t>
  </si>
  <si>
    <t>源石技力</t>
  </si>
  <si>
    <t>溫和，善於傾聽，對大部分的人都一視同仁</t>
  </si>
  <si>
    <t>完美形體（3）</t>
  </si>
  <si>
    <t>惡性</t>
  </si>
  <si>
    <t>崩壞能</t>
  </si>
  <si>
    <t>心率</t>
  </si>
  <si>
    <t>基礎=5</t>
  </si>
  <si>
    <t>怪癖</t>
  </si>
  <si>
    <t>屬性</t>
  </si>
  <si>
    <t>基礎屬性</t>
  </si>
  <si>
    <t>絕處逢生（9）</t>
  </si>
  <si>
    <t>屬性加值</t>
  </si>
  <si>
    <t>附加成功</t>
  </si>
  <si>
    <t>專長</t>
  </si>
  <si>
    <t>怪癖名稱</t>
  </si>
  <si>
    <t>怪癖描述</t>
  </si>
  <si>
    <t>建卡</t>
  </si>
  <si>
    <t>購買</t>
  </si>
  <si>
    <t>內在</t>
  </si>
  <si>
    <t>修行</t>
  </si>
  <si>
    <t>增強</t>
  </si>
  <si>
    <t>器械</t>
  </si>
  <si>
    <t>其他</t>
  </si>
  <si>
    <t>臨時</t>
  </si>
  <si>
    <t>總和</t>
  </si>
  <si>
    <t>傳屬</t>
  </si>
  <si>
    <t>額外</t>
  </si>
  <si>
    <t>專長名稱</t>
  </si>
  <si>
    <t>等級</t>
  </si>
  <si>
    <t>鮮明特點</t>
  </si>
  <si>
    <t>白化症
躲藏-6DP他人偵查+6DP</t>
  </si>
  <si>
    <t>生理</t>
  </si>
  <si>
    <t>力量</t>
  </si>
  <si>
    <t>強迫症（-2）</t>
  </si>
  <si>
    <t>精神力天賦</t>
  </si>
  <si>
    <t>敏捷</t>
  </si>
  <si>
    <t>鋼鐵意志</t>
  </si>
  <si>
    <t>謹小慎微</t>
  </si>
  <si>
    <t>沒有專業則-3DP</t>
  </si>
  <si>
    <t>耐力</t>
  </si>
  <si>
    <t>異能者</t>
  </si>
  <si>
    <t>獨來獨往（-2）</t>
  </si>
  <si>
    <t>心智</t>
  </si>
  <si>
    <t>智力</t>
  </si>
  <si>
    <t>快速自癒</t>
  </si>
  <si>
    <t>誓言</t>
  </si>
  <si>
    <t>保持純潔之身</t>
  </si>
  <si>
    <t>感知</t>
  </si>
  <si>
    <t>基礎屬性</t>
  </si>
  <si>
    <t>忍耐力</t>
  </si>
  <si>
    <t>決心</t>
  </si>
  <si>
    <t>白冠之王</t>
  </si>
  <si>
    <t>隱秘恥辱（-3）</t>
  </si>
  <si>
    <t>暈車</t>
  </si>
  <si>
    <t>沒搭過車，暈也是合理的
5點不可疊加不可避免的噁心，離開載具短休後消除</t>
  </si>
  <si>
    <t>社交</t>
  </si>
  <si>
    <t>風度</t>
  </si>
  <si>
    <t>操控</t>
  </si>
  <si>
    <t>特殊身份(1-3)</t>
  </si>
  <si>
    <t>入水即沉</t>
  </si>
  <si>
    <t>在雪山上沒機會學游泳的
游泳檢定-6DP</t>
  </si>
  <si>
    <t>沉著</t>
  </si>
  <si>
    <t>載具殺手（-4）</t>
  </si>
  <si>
    <t>泰拉人(4)</t>
  </si>
  <si>
    <t>技能</t>
  </si>
  <si>
    <t>基本等級</t>
  </si>
  <si>
    <t>專業/子項</t>
  </si>
  <si>
    <t>檢定類</t>
  </si>
  <si>
    <t>蠻族(3)</t>
  </si>
  <si>
    <t>衍生屬性</t>
  </si>
  <si>
    <t>人物概述</t>
  </si>
  <si>
    <t>施法天才(1)</t>
  </si>
  <si>
    <t>其他來源</t>
  </si>
  <si>
    <t>檢定項目</t>
  </si>
  <si>
    <t>DP加值</t>
  </si>
  <si>
    <t>有專業</t>
  </si>
  <si>
    <t>無專業</t>
  </si>
  <si>
    <t>附加</t>
  </si>
  <si>
    <t>項目</t>
  </si>
  <si>
    <t>數值</t>
  </si>
  <si>
    <t>基礎</t>
  </si>
  <si>
    <t>加值</t>
  </si>
  <si>
    <t>熙瑪天生就是一個膚如凝脂、髮若白雪、眼眸也純淨潔白的孩子，放在現代醫學的觀點就是：白化症患者。但那是現代醫學，在這種偏遠的，信奉自然系神明的山村中，她自然就成了「上天的恩賜」，也理所當然的成為了雪之神明的聖女，一輩子都需要奉獻在神社裡面，保持著守身如玉的狀況......照理來說是這樣子的。
熙瑪，在這地方的方言是「冬天」的意思，身為神聖的聖女，大部分時候除了與神相關的儀式，她並沒有機會接觸其他的事情跟人，不過為了讓她好好學習儀式，她還是能夠學習文字，並且自由的研讀著神社中存放的書籍，只是缺少了跟其他人互動的機會罷了，唯一的缺點是，熙瑪無法開口，她天生就是個啞巴，也因此，吟唱禱詞等事情只好請他人代勞。而每個禮拜總會有那麼兩天，她需要坐在聖壇旁，傾聽著底下的信徒訴說著自己的困難及願望，甚至還有罪孽，在這裡，各種光怪陸離的事情她都聽過了，對她來說，她只要能夠安撫他們的情緒就可以了，至於底下是誰，誰又做了什麼事情，都彷彿與她無關。不過，隨著傾聽的多了，熙瑪也慢慢的更加了解各種人類，而且她發現，只要她懷抱著強烈的想法，那些前來訴說的信徒們就很容易被她潛移默化，她將其歸功於之前看到的「吸引力法則」，但殊不知那卻是她特殊的天賦所導致。隨著時間進展，她的天賦越加強大，她甚至發現如果自己想要的話，可以讓自己的聲音在別人的心中響起，這更加深了村民們對「聖女」的信任與崇拜，無形中也更鞏固了信仰，至於這種天賦究竟是神的恩賜或是其他因素，也就無人在意了，或許除了熙瑪自己以外。
在神社中，除了一般的儀式，他們還有一個特殊的「朝聖之旅」，從聖女10歲開始，她就必須帶著每個12歲至18歲的村民前往山頂的聖地，也就是某個山洞中，獲取山洞內的山泉水，並且拿回來供奉，作為獻給神明的供品。事情就發生在她16歲的時候，某些好色的村民趁著朝聖時試圖侵犯熙瑪，她劇烈的掙扎著，「走開」這個最單純的強烈想法撞擊到了這幾個好色的村民，使得那些村民直接昏暈在地，這使得熙瑪保全了純潔之身，但卻也讓她對男性產生了戒心跟距離感。
熙瑪在沒有巫女訓練的時候，也無法跟其他人接觸互動，她只能一邊看著各種書籍，一邊幻想跟思考著自己所供奉的神明到底是什麼存在，自己又是什麼樣的一個存在。理所當然的，這間神社內的書籍並沒有辦法告訴她答案。終於，在一次的月黑風高下，她收拾了一些東西，默默地離開了神社，但除了朝聖之旅之外沒有出去過的聖女怎麼會知道哪裡才能夠找到其他村落或是其他可以生存的地方？她一邊躲著搜索的村民們，一邊往雪山的更深處邁進，最後，她只能又餓又冷的在一片茫茫無際的荒野中，在彌留之際，耳邊突然響起的聲音，讓她做出選擇，為了那無論如何都想追尋的答案，恍惚之間，熙瑪同意了那個聲音，於是她的下一段路，即將展開。</t>
  </si>
  <si>
    <t>快速自癒(2)</t>
  </si>
  <si>
    <t>生 理</t>
  </si>
  <si>
    <t>運動</t>
  </si>
  <si>
    <t>超凡身分(5)</t>
  </si>
  <si>
    <t>增壓法術(1)</t>
  </si>
  <si>
    <t>機械白痴（-4）</t>
  </si>
  <si>
    <t>傾城之貌(1-5)</t>
  </si>
  <si>
    <t>惡毒法術(1)</t>
  </si>
  <si>
    <t>自我保護(3)、弓箭(天生)</t>
  </si>
  <si>
    <t>生　理　系</t>
  </si>
  <si>
    <t>游泳</t>
  </si>
  <si>
    <t>攀爬</t>
  </si>
  <si>
    <t>跳躍</t>
  </si>
  <si>
    <t>魔法力體質(3)</t>
  </si>
  <si>
    <t>天生律者(1-5)</t>
  </si>
  <si>
    <t>肉搏</t>
  </si>
  <si>
    <t>平衡感</t>
  </si>
  <si>
    <t>逃脫</t>
  </si>
  <si>
    <t>體積</t>
  </si>
  <si>
    <t>駕駛</t>
  </si>
  <si>
    <t>優秀律者素體(1-5)</t>
  </si>
  <si>
    <t>竊盜</t>
  </si>
  <si>
    <t>體型</t>
  </si>
  <si>
    <t>中型</t>
  </si>
  <si>
    <t>槍械</t>
  </si>
  <si>
    <t>隱藏物品</t>
  </si>
  <si>
    <t>開鎖</t>
  </si>
  <si>
    <t>綑綁</t>
  </si>
  <si>
    <t>基礎速度</t>
  </si>
  <si>
    <t>隱藏</t>
  </si>
  <si>
    <t>躲藏</t>
  </si>
  <si>
    <t>旅行速度</t>
  </si>
  <si>
    <t>凝血功能障礙（-5）</t>
  </si>
  <si>
    <t>求生</t>
  </si>
  <si>
    <t>自然環境生存</t>
  </si>
  <si>
    <t>追蹤</t>
  </si>
  <si>
    <t>先攻</t>
  </si>
  <si>
    <t>自我保護(3)、野外求生(4)</t>
  </si>
  <si>
    <t>心　智　系</t>
  </si>
  <si>
    <t>學識</t>
  </si>
  <si>
    <t>文件解讀</t>
  </si>
  <si>
    <t>怪物辨識</t>
  </si>
  <si>
    <t>知識</t>
  </si>
  <si>
    <t>基礎防禦</t>
  </si>
  <si>
    <t>白刃</t>
  </si>
  <si>
    <t>刀(天生)</t>
  </si>
  <si>
    <t>電腦</t>
  </si>
  <si>
    <t>駭客入侵</t>
  </si>
  <si>
    <t>防火牆</t>
  </si>
  <si>
    <t>心 智</t>
  </si>
  <si>
    <t>宗教(天生)</t>
  </si>
  <si>
    <t>打遊戲</t>
  </si>
  <si>
    <t>使用電腦</t>
  </si>
  <si>
    <t>觸及範圍</t>
  </si>
  <si>
    <t>基礎速度</t>
  </si>
  <si>
    <t>調查</t>
  </si>
  <si>
    <t>搜索</t>
  </si>
  <si>
    <t>敏感範圍</t>
  </si>
  <si>
    <t>手藝類</t>
  </si>
  <si>
    <t>聆聽</t>
  </si>
  <si>
    <t>偵查</t>
  </si>
  <si>
    <t>讀唇</t>
  </si>
  <si>
    <t>意志力池</t>
  </si>
  <si>
    <t>醫學</t>
  </si>
  <si>
    <t>急救</t>
  </si>
  <si>
    <t>檢定值</t>
  </si>
  <si>
    <t>護理</t>
  </si>
  <si>
    <t>診斷</t>
  </si>
  <si>
    <t>治療</t>
  </si>
  <si>
    <t>手術</t>
  </si>
  <si>
    <t>基礎防禦</t>
  </si>
  <si>
    <t>攻擊名稱</t>
  </si>
  <si>
    <t>檢定值</t>
  </si>
  <si>
    <t>三破防</t>
  </si>
  <si>
    <t>攻擊上限</t>
  </si>
  <si>
    <t>特性</t>
  </si>
  <si>
    <t>詳細加值</t>
  </si>
  <si>
    <t>神秘</t>
  </si>
  <si>
    <t>施法檢定</t>
  </si>
  <si>
    <t>法術辨識</t>
  </si>
  <si>
    <t>道術</t>
  </si>
  <si>
    <t>意志豁免</t>
  </si>
  <si>
    <t>科學</t>
  </si>
  <si>
    <t>解讀圖紙</t>
  </si>
  <si>
    <t>反射豁免</t>
  </si>
  <si>
    <t>觸及範圍</t>
  </si>
  <si>
    <t>互　動　系</t>
  </si>
  <si>
    <t>訓獸</t>
  </si>
  <si>
    <t>騎乘戰鬥</t>
  </si>
  <si>
    <t>訓練動物</t>
  </si>
  <si>
    <t>改善動物態度</t>
  </si>
  <si>
    <t>強韌豁免</t>
  </si>
  <si>
    <t>敏感範圍</t>
  </si>
  <si>
    <t>儀式(3)</t>
  </si>
  <si>
    <t>感受</t>
  </si>
  <si>
    <t>堅定立場(決心/沉著取高)</t>
  </si>
  <si>
    <t>心靈檢定</t>
  </si>
  <si>
    <t>察言觀色</t>
  </si>
  <si>
    <t>攝影</t>
  </si>
  <si>
    <t>本能覺醒</t>
  </si>
  <si>
    <t>被動特殊能力提醒與備註</t>
  </si>
  <si>
    <t>額外</t>
  </si>
  <si>
    <t>互 動</t>
  </si>
  <si>
    <t>馴獸</t>
  </si>
  <si>
    <t>表達</t>
  </si>
  <si>
    <t>一階</t>
  </si>
  <si>
    <t>被動開啟</t>
  </si>
  <si>
    <t>主動開啟</t>
  </si>
  <si>
    <t>解除</t>
  </si>
  <si>
    <t>持續時間</t>
  </si>
  <si>
    <t>計算不良狀態點數時關鍵抵抗屬性+4</t>
  </si>
  <si>
    <t>自我保護(3)、察言觀色(4)</t>
  </si>
  <si>
    <t>二階</t>
  </si>
  <si>
    <t>表達類</t>
  </si>
  <si>
    <t>三階</t>
  </si>
  <si>
    <t>XP積累</t>
  </si>
  <si>
    <t>意志力獲得的完美加值+2</t>
  </si>
  <si>
    <t>脅迫</t>
  </si>
  <si>
    <t>咆哮</t>
  </si>
  <si>
    <t>/42</t>
  </si>
  <si>
    <t>威嚇</t>
  </si>
  <si>
    <t>四階</t>
  </si>
  <si>
    <t>對敵人上鳶尾+2</t>
  </si>
  <si>
    <t>心靈檢定</t>
  </si>
  <si>
    <t>交際</t>
  </si>
  <si>
    <t>交涉</t>
  </si>
  <si>
    <t>說服</t>
  </si>
  <si>
    <t>收集情報</t>
  </si>
  <si>
    <t>五階</t>
  </si>
  <si>
    <t>掩飾</t>
  </si>
  <si>
    <t>唬騙/易容/偽裝</t>
  </si>
  <si>
    <t>層級</t>
  </si>
  <si>
    <t>開鎖</t>
  </si>
  <si>
    <t>完美加值</t>
  </si>
  <si>
    <t>意志力
加值</t>
  </si>
  <si>
    <t>易容</t>
  </si>
  <si>
    <t>偽裝</t>
  </si>
  <si>
    <t>本能覺醒</t>
  </si>
  <si>
    <t>被動特殊能力提醒與備註</t>
  </si>
  <si>
    <t>攻擊預設</t>
  </si>
  <si>
    <t>防禦預設</t>
  </si>
  <si>
    <t>攻擊手段</t>
  </si>
  <si>
    <t>射程</t>
  </si>
  <si>
    <t>彈藥/消耗</t>
  </si>
  <si>
    <t>武器</t>
  </si>
  <si>
    <t>招式</t>
  </si>
  <si>
    <t>專業</t>
  </si>
  <si>
    <t>完美</t>
  </si>
  <si>
    <t>士氣</t>
  </si>
  <si>
    <t>破甲</t>
  </si>
  <si>
    <t>高速</t>
  </si>
  <si>
    <t>破魔</t>
  </si>
  <si>
    <t>精神衝擊</t>
  </si>
  <si>
    <t>觸及/射程</t>
  </si>
  <si>
    <t>防禦
狀態</t>
  </si>
  <si>
    <t>措手
不及</t>
  </si>
  <si>
    <t>全力
防禦</t>
  </si>
  <si>
    <t>格擋</t>
  </si>
  <si>
    <t>掩蔽</t>
  </si>
  <si>
    <t>特性/備註</t>
  </si>
  <si>
    <t>攻擊檢定</t>
  </si>
  <si>
    <t>傷害上限</t>
  </si>
  <si>
    <t>基本防禦</t>
  </si>
  <si>
    <t>近戰</t>
  </si>
  <si>
    <t>遠程</t>
  </si>
  <si>
    <t>召喚物</t>
  </si>
  <si>
    <t>攻擊</t>
  </si>
  <si>
    <t>DP</t>
  </si>
  <si>
    <t>反射</t>
  </si>
  <si>
    <t>強韌</t>
  </si>
  <si>
    <t>意志</t>
  </si>
  <si>
    <t>防禦</t>
  </si>
  <si>
    <t>合計</t>
  </si>
  <si>
    <t>槍械經驗減免：6/12</t>
  </si>
  <si>
    <t>格檔</t>
  </si>
  <si>
    <t>全防</t>
  </si>
  <si>
    <t>閃避</t>
  </si>
  <si>
    <t>護甲</t>
  </si>
  <si>
    <t>速度</t>
  </si>
  <si>
    <t>持續</t>
  </si>
  <si>
    <t>反措手</t>
  </si>
  <si>
    <t>生命</t>
  </si>
  <si>
    <t>／</t>
  </si>
  <si>
    <t>能耗</t>
  </si>
  <si>
    <t>無</t>
  </si>
  <si>
    <t>首回能耗：5法力</t>
  </si>
  <si>
    <t>天生</t>
  </si>
  <si>
    <t xml:space="preserve">盔甲近戰／遠程　　</t>
  </si>
  <si>
    <t>盾牌(近戰／遠程）</t>
  </si>
  <si>
    <t>力場</t>
  </si>
  <si>
    <t>偏斜</t>
  </si>
  <si>
    <t>洞察</t>
  </si>
  <si>
    <t>傷害減免</t>
  </si>
  <si>
    <t>瞄準相關：
+5dp與傷害上限/12最高</t>
  </si>
  <si>
    <t xml:space="preserve">DR/　　</t>
  </si>
  <si>
    <t>掩蔽加值</t>
  </si>
  <si>
    <t>其他2</t>
  </si>
  <si>
    <t>其他3</t>
  </si>
  <si>
    <t>傷害吸收</t>
  </si>
  <si>
    <t>物理傷害</t>
  </si>
  <si>
    <t>【魔法】、3點抵破甲</t>
  </si>
  <si>
    <t>殞劍、施法檢定</t>
  </si>
  <si>
    <t>強化分類</t>
  </si>
  <si>
    <t>能力</t>
  </si>
  <si>
    <t>血統</t>
  </si>
  <si>
    <t>改造</t>
  </si>
  <si>
    <t>瞳術</t>
  </si>
  <si>
    <t>修煉體系</t>
  </si>
  <si>
    <t>典籍</t>
  </si>
  <si>
    <t>請將特性、技能敘述以備註的方式標記在格子上。</t>
  </si>
  <si>
    <t>稱號與流派</t>
  </si>
  <si>
    <t>【認主】【魔法】【法器】【8加骰】</t>
  </si>
  <si>
    <t>環指點彩派</t>
  </si>
  <si>
    <t>星杯－鮮血議會</t>
  </si>
  <si>
    <t>等級</t>
  </si>
  <si>
    <t>D</t>
  </si>
  <si>
    <t>Ｄ</t>
  </si>
  <si>
    <t>特性 請給你的特性也標註上等級</t>
  </si>
  <si>
    <t>承冠之重</t>
  </si>
  <si>
    <t>潑灑筆墨</t>
  </si>
  <si>
    <t>嗜血如命</t>
  </si>
  <si>
    <t>黑暗生物</t>
  </si>
  <si>
    <t>作品創作</t>
  </si>
  <si>
    <t>生存訓練</t>
  </si>
  <si>
    <t>以牙還牙</t>
  </si>
  <si>
    <t>B</t>
  </si>
  <si>
    <t>技藝/招式/法術等主動特殊能力</t>
  </si>
  <si>
    <t>DR/　─</t>
  </si>
  <si>
    <t>手錶外掛：書籤</t>
  </si>
  <si>
    <t>舉例</t>
  </si>
  <si>
    <t>心靈溝通</t>
  </si>
  <si>
    <t>修煉體系</t>
  </si>
  <si>
    <t>稱號與流派</t>
  </si>
  <si>
    <t>注意：將你的書籤頁與其他能力分隔開來</t>
  </si>
  <si>
    <t>花觸</t>
  </si>
  <si>
    <t>箭修</t>
  </si>
  <si>
    <t>求生者/監管者</t>
  </si>
  <si>
    <t>運動大師</t>
  </si>
  <si>
    <t>【2點全能量抗性】【法術抗力4】
超級防護：穿戴者獲得3點物理傷害吸收，每次吸收都需要消耗1點穿戴者的魔力。</t>
  </si>
  <si>
    <t>儲存支線</t>
  </si>
  <si>
    <t>配置支線</t>
  </si>
  <si>
    <t>第四層</t>
  </si>
  <si>
    <t>C</t>
  </si>
  <si>
    <t>特性 請給你的特性也標註上等級</t>
  </si>
  <si>
    <t>飛衛學射(C)</t>
  </si>
  <si>
    <t>莊園遊戲(D)</t>
  </si>
  <si>
    <t>強生健體(D)</t>
  </si>
  <si>
    <t>D級支線</t>
  </si>
  <si>
    <t>自承牽挺(D)</t>
  </si>
  <si>
    <t>逃逸(D)</t>
  </si>
  <si>
    <t>運動健將-自我保護(D)</t>
  </si>
  <si>
    <t>C級支線</t>
  </si>
  <si>
    <t>B級支線</t>
  </si>
  <si>
    <t>盤遊弋射(D)</t>
  </si>
  <si>
    <t>人皇步(C)</t>
  </si>
  <si>
    <t>求勝意志(C)</t>
  </si>
  <si>
    <t>A級支線</t>
  </si>
  <si>
    <t>魔術師</t>
  </si>
  <si>
    <t>殞氷之律者</t>
  </si>
  <si>
    <t>光明騎士</t>
  </si>
  <si>
    <t>S級支線</t>
  </si>
  <si>
    <t>視而後可(C)</t>
  </si>
  <si>
    <t>賦予術師</t>
  </si>
  <si>
    <t>純度寶典(C)</t>
  </si>
  <si>
    <t>潛能爆發(C)</t>
  </si>
  <si>
    <t>儲存分數</t>
  </si>
  <si>
    <t>配置分數</t>
  </si>
  <si>
    <t>彀弓獸伏(C)</t>
  </si>
  <si>
    <t>剩餘分數</t>
  </si>
  <si>
    <t>裝備位</t>
  </si>
  <si>
    <t>隨身物品</t>
  </si>
  <si>
    <t>開通魔術迴路（Ｄ）</t>
  </si>
  <si>
    <t>崩壞親和（Ｄ）</t>
  </si>
  <si>
    <t>未攜帶物品</t>
  </si>
  <si>
    <t>毅力訓練（Ｄ）</t>
  </si>
  <si>
    <t>可視化面板（Ｃ）</t>
  </si>
  <si>
    <t>頭盔位</t>
  </si>
  <si>
    <t>項鍊位</t>
  </si>
  <si>
    <t>神秘學強化（Ｄ）</t>
  </si>
  <si>
    <t>律者核心（Ｄ）</t>
  </si>
  <si>
    <t>魔法訓練（Ｄ）</t>
  </si>
  <si>
    <t>戰域哨戒（Ｃ）</t>
  </si>
  <si>
    <t>批風位</t>
  </si>
  <si>
    <t>盔甲位</t>
  </si>
  <si>
    <t>棉質巫女服</t>
  </si>
  <si>
    <t>起源覺醒─火（Ｃ）</t>
  </si>
  <si>
    <t>律者覺醒（Ｄ，特殊）</t>
  </si>
  <si>
    <t>護腕位</t>
  </si>
  <si>
    <t>精靈感知（Ｄ）</t>
  </si>
  <si>
    <t>手套位</t>
  </si>
  <si>
    <t>連發節奏（Ｃ）</t>
  </si>
  <si>
    <t>腰帶位</t>
  </si>
  <si>
    <t>鞋襪位</t>
  </si>
  <si>
    <t>於珊瑚島綻放之冰花（Ｂ）</t>
  </si>
  <si>
    <t>光之契約者（Ｃ）</t>
  </si>
  <si>
    <t>術師怒號（Ｃ）</t>
  </si>
  <si>
    <t>殞氷（Ｂ）</t>
  </si>
  <si>
    <t>戒指位</t>
  </si>
  <si>
    <t>靈魂命令（Ｃ）</t>
  </si>
  <si>
    <t>儲物空間</t>
  </si>
  <si>
    <t>飾品（護符）位</t>
  </si>
  <si>
    <t>概念武裝</t>
  </si>
  <si>
    <t>帕拉丁魔法抵抗（Ｃ）</t>
  </si>
  <si>
    <t>左手手持</t>
  </si>
  <si>
    <t>右手手持</t>
  </si>
  <si>
    <t>手錶增強組件</t>
  </si>
  <si>
    <t>負重量</t>
  </si>
  <si>
    <t>單位：公斤</t>
  </si>
  <si>
    <t>技藝/招式/法術等主動特殊能力</t>
  </si>
  <si>
    <t>手錶插件：書籤</t>
  </si>
  <si>
    <t>舉例</t>
  </si>
  <si>
    <t>獲得獎勵及支出-明細</t>
  </si>
  <si>
    <t>注意：將你的書籤頁與其他能力分隔開來</t>
  </si>
  <si>
    <t>收支紀錄</t>
  </si>
  <si>
    <t>統計</t>
  </si>
  <si>
    <t>計算器</t>
  </si>
  <si>
    <t>屬性技能速查表</t>
  </si>
  <si>
    <t>描述</t>
  </si>
  <si>
    <t>獲得支線</t>
  </si>
  <si>
    <t>分數</t>
  </si>
  <si>
    <t>經驗</t>
  </si>
  <si>
    <t>失去支線</t>
  </si>
  <si>
    <t>屬性購買</t>
  </si>
  <si>
    <t>技能購買</t>
  </si>
  <si>
    <t>檢定</t>
  </si>
  <si>
    <t>氷之髮髻</t>
  </si>
  <si>
    <t>精神衝擊、心靈溝通</t>
  </si>
  <si>
    <t>第一世界</t>
  </si>
  <si>
    <t>CD</t>
  </si>
  <si>
    <t>D級支線</t>
  </si>
  <si>
    <t>氷嘆的隕星</t>
  </si>
  <si>
    <t>使用角色屬性點</t>
  </si>
  <si>
    <t>使用角色技能值</t>
  </si>
  <si>
    <t>白冠之王(血統、技能、專長)</t>
  </si>
  <si>
    <t>DD</t>
  </si>
  <si>
    <t>C級支線</t>
  </si>
  <si>
    <t>當前屬性點</t>
  </si>
  <si>
    <t>當前技能等級</t>
  </si>
  <si>
    <t>星杯祈願者－鮮血議會</t>
  </si>
  <si>
    <t>鋼鐵意志3&gt;4</t>
  </si>
  <si>
    <t>B級支線</t>
  </si>
  <si>
    <t>目標屬性點</t>
  </si>
  <si>
    <t>目標技能等級</t>
  </si>
  <si>
    <t>A級支線</t>
  </si>
  <si>
    <t>所需資源</t>
  </si>
  <si>
    <t>S級支線</t>
  </si>
  <si>
    <t>儲存分數</t>
  </si>
  <si>
    <t>XP</t>
  </si>
  <si>
    <t>剩餘分數</t>
  </si>
  <si>
    <t>自學計算</t>
  </si>
  <si>
    <t>專長購買</t>
  </si>
  <si>
    <t>原始價格</t>
  </si>
  <si>
    <t>D500</t>
  </si>
  <si>
    <t>目前等級</t>
  </si>
  <si>
    <t>裝備位</t>
  </si>
  <si>
    <t>隨身物品</t>
  </si>
  <si>
    <t>未攜帶物品</t>
  </si>
  <si>
    <t>目標等級</t>
  </si>
  <si>
    <t>頭盔位</t>
  </si>
  <si>
    <t>所需XP</t>
  </si>
  <si>
    <t>項鍊位</t>
  </si>
  <si>
    <t>披風位</t>
  </si>
  <si>
    <t>專長種類</t>
  </si>
  <si>
    <t>普通</t>
  </si>
  <si>
    <t>本角卡由Sora製作、檢查。若有任何使用上的問題，歡迎電子郵件(a24631481@gmail.com)詢問。</t>
  </si>
  <si>
    <t>護腕位</t>
  </si>
  <si>
    <t>小計</t>
  </si>
  <si>
    <t>造物規則</t>
  </si>
  <si>
    <t>腰帶位</t>
  </si>
  <si>
    <t>鞋襪位</t>
  </si>
  <si>
    <t>學徒長袍</t>
  </si>
  <si>
    <t>支線</t>
  </si>
  <si>
    <t>左</t>
  </si>
  <si>
    <t>右</t>
  </si>
  <si>
    <t>物品支線</t>
  </si>
  <si>
    <t>硬度和結構值</t>
  </si>
  <si>
    <t>物品點數</t>
  </si>
  <si>
    <t>飾品（護符）位</t>
  </si>
  <si>
    <t>概念武裝</t>
  </si>
  <si>
    <t>圖紙價格</t>
  </si>
  <si>
    <t>學徒的護盾戒指</t>
  </si>
  <si>
    <t>解讀DC</t>
  </si>
  <si>
    <t>硬度/維修DC</t>
  </si>
  <si>
    <t>殞劍</t>
  </si>
  <si>
    <t>A</t>
  </si>
  <si>
    <t>材料費用</t>
  </si>
  <si>
    <t>結構值</t>
  </si>
  <si>
    <t>S</t>
  </si>
  <si>
    <t>製造DC</t>
  </si>
  <si>
    <t>維修費用</t>
  </si>
  <si>
    <t>計算器</t>
  </si>
  <si>
    <t>──模擬卡片──</t>
  </si>
  <si>
    <t>ACC</t>
  </si>
  <si>
    <t>血統─</t>
  </si>
  <si>
    <t>改造─</t>
  </si>
  <si>
    <t>血統─魔術師</t>
  </si>
  <si>
    <t>DC</t>
  </si>
  <si>
    <t>改造─殞氷之律者</t>
  </si>
  <si>
    <t>瞳術─</t>
  </si>
  <si>
    <t>CB</t>
  </si>
  <si>
    <t>修煉─箭修</t>
  </si>
  <si>
    <t>修煉─光明騎士</t>
  </si>
  <si>
    <t>流派─</t>
  </si>
  <si>
    <t>流派─賦予術師</t>
  </si>
  <si>
    <t>稱號─求生者/監管者</t>
  </si>
  <si>
    <t>道具─殞劍</t>
  </si>
  <si>
    <t>稱號─運動大師</t>
  </si>
  <si>
    <t>修煉─</t>
  </si>
  <si>
    <t>稱號─</t>
  </si>
  <si>
    <t>C2000</t>
  </si>
  <si>
    <t>B2000</t>
  </si>
  <si>
    <t>久田和也</t>
  </si>
  <si>
    <r>
      <rPr>
        <rFont val="Arial"/>
        <b/>
        <color rgb="FFFF0000"/>
        <sz val="12.0"/>
      </rPr>
      <t xml:space="preserve">缺陷
</t>
    </r>
    <r>
      <rPr>
        <rFont val="Arial"/>
        <color theme="1"/>
        <sz val="12.0"/>
      </rPr>
      <t>等級</t>
    </r>
  </si>
  <si>
    <r>
      <rPr>
        <rFont val="Arial"/>
        <b/>
        <color rgb="FFFF0000"/>
        <sz val="12.0"/>
      </rPr>
      <t>缺陷</t>
    </r>
    <r>
      <rPr>
        <rFont val="Arial"/>
        <color theme="1"/>
        <sz val="12.0"/>
      </rPr>
      <t>名稱</t>
    </r>
  </si>
  <si>
    <r>
      <rPr>
        <rFont val="Arial"/>
        <b/>
        <color rgb="FFFF0000"/>
        <sz val="12.0"/>
      </rPr>
      <t>缺陷</t>
    </r>
    <r>
      <rPr>
        <rFont val="Arial"/>
        <color theme="1"/>
        <sz val="12.0"/>
      </rPr>
      <t>效果</t>
    </r>
  </si>
  <si>
    <r>
      <rPr>
        <rFont val="Arial"/>
        <b/>
        <color rgb="FFFF00FF"/>
        <sz val="12.0"/>
      </rPr>
      <t>天賦</t>
    </r>
    <r>
      <rPr>
        <rFont val="Arial"/>
        <color theme="1"/>
        <sz val="12.0"/>
      </rPr>
      <t xml:space="preserve">
等級</t>
    </r>
  </si>
  <si>
    <r>
      <rPr>
        <rFont val="Arial"/>
        <b/>
        <color rgb="FFFF00FF"/>
        <sz val="12.0"/>
      </rPr>
      <t>天賦</t>
    </r>
    <r>
      <rPr>
        <rFont val="Arial"/>
        <color theme="1"/>
        <sz val="12.0"/>
      </rPr>
      <t>名稱</t>
    </r>
  </si>
  <si>
    <r>
      <rPr>
        <rFont val="Arial"/>
        <b/>
        <color rgb="FFFF00FF"/>
        <sz val="12.0"/>
      </rPr>
      <t>天賦</t>
    </r>
    <r>
      <rPr>
        <rFont val="Arial"/>
        <color theme="1"/>
        <sz val="12.0"/>
      </rPr>
      <t>效果</t>
    </r>
  </si>
  <si>
    <t>蘭斯</t>
  </si>
  <si>
    <t>男</t>
  </si>
  <si>
    <t>182cm</t>
  </si>
  <si>
    <t>80kg</t>
  </si>
  <si>
    <t>內力</t>
  </si>
  <si>
    <t>冷峻黑長髮、青藍瞳孔</t>
  </si>
  <si>
    <t>冷麵心善、厭惡虛偽</t>
  </si>
  <si>
    <t>外貌協會成員</t>
  </si>
  <si>
    <t>你與非正常人類審美下的所有種族（如鐵血戰士，三體人，深潛者，食屍鬼等）進行的互動系屬性和技能檢定承受3DP減值</t>
  </si>
  <si>
    <t>特殊身分(全國劍道冠軍)</t>
  </si>
  <si>
    <t>刀術</t>
  </si>
  <si>
    <t>禁酒</t>
  </si>
  <si>
    <t>武學奇才</t>
  </si>
  <si>
    <t>輕靈戰士</t>
  </si>
  <si>
    <t>上癮</t>
  </si>
  <si>
    <t>你上癮速度比正常人的快得多，你的發作週期減半，並且禁斷症狀的意志豁免檢定和強韌豁免檢定分別承受6DP減值</t>
  </si>
  <si>
    <t>側滑步</t>
  </si>
  <si>
    <t>羅圈腿</t>
  </si>
  <si>
    <t>通常不影響移動力，但是你的跳躍檢定的自然成功數減半</t>
  </si>
  <si>
    <t>你的游泳檢定承受6DP減值</t>
  </si>
  <si>
    <t>久田和也從來不知道父母長什麼樣子
父親在母親懷孕時意外身亡，母親則沒能熬過難產，這些事，他是聽祖父說的——而且只聽過一次，祖父不太愛提過去，也不喜歡孩子追問
他是被祖父一手帶大的
他從小在奈良的道場長大。他的祖父是武士末裔，守著一座不為外人所知的家傳道場。祖父教他的不是比賽用的劍道，而是更老、更慢，也更危險的古流劍術；與之相輔相成的，是家族祖傳的練氣法。那是一種講究呼吸與內勁循環的古老技巧，能在出手的瞬間將爆發力凝聚於劍尖。動作不華麗，講究的是距離、時機，還有在呼吸吐納間的那份判斷。祖父常說，劍不是用來表演的，是用來結束事情的
日子單調卻規律。木刀、汗水、反覆的基本動作，以及日復一日的盤坐練氣。他話不多，也不擅長與人打交道，但學生遇到麻煩時，他總會站在前面。那不是出於什麼英雄情結，只是祖父教他的方式——劍是為了守住什麼而存在的
他對自己要求很嚴。每天清晨用冷水洗臉洗身，從不喝酒，也幾乎不碰刺激性的東西。他相信只有在身心都保持乾淨的狀態下，配合氣息的流轉，才能看清對手的動作。那份「清澈感」對他而言，比任何稱讚都重要
十七歲那年，和也代表高中參加了全日本高中劍道比賽。比賽那天，他刻意只使用古流劍術中最基礎的「平青眼」起手，封印了所有現代劍道常見的連續跳動與試探以及自己的氣勁。沒有花招，沒有炫技，他只是像尊石像般站在那裡，冷冷地等對手踏進那條死線
踏入間合、出擊、收刀。
劍尖劃開空氣的刺耳聲與擊中護具的悶響幾乎同時發生。當和也已經完成殘心、緩步退回原位時，場內才爆發出後知後覺的驚呼。那一記簡單到極點的「面」，快到連裁判都愣了一拍，甚至來不及舉旗
他一路贏到決賽，最後奪下個人冠軍。媒體稱他是天才，說他是「將古武道魂魄帶進現代的少年」。那時候的和也，是真的相信了——只要自己夠強，劍握得夠穩，就能守住重要的人
二十一歲的他，在道場裡當助教
表面上看起來冷淡寡言，話不多，卻會默默幫學生把歪掉的護具調好，熟識的人都知道，他其實心軟
直到那個夜晚
深夜的鬥毆發生得很突然，他只是照本能行事，迅速擊倒幾個施暴者，事情結束後，他才發現自己救下的人，是政商世家的子弟
接下來的事，完全不需要他在場，但沒注意到對方看著他的眼神，沒有感激，只有被目睹了狼狽求饒後的羞憤與陰冷
律師、媒體、說詞、剪接過的比賽畫面，一切像早就準備好一樣，他的防衛被說成暴力傾向，過去的打擊被解釋為「致命技巧」，規則一條一條落下來，乾淨、合理，卻毫無溫度
他第一次發現，自己的手什麼也抓不住
道場被迫關閉，祖父在輿論與現實的雙重壓力下病倒，最後連一句交代都沒留下。葬禮那天，有人來道場門口叫囂、投擲雜物，他卻只是沈默地站著，將指甲深深掐進掌心。那些他多年來修習的「剋制」與「清澈」，在這一刻成了最諷刺的笑話。連握拳都顯得多餘
那一刻，他是真的感到噁心
不是憤怒，而是徹底的幻滅
原來力量在這個世界裡，根本派不上用場
葬禮後，他獨自回到荒廢的道場。一段時間沒整理的道場鋪上了一層灰塵，腳步聲在空間裡顯得格外突兀。他穿上家中那陳舊的武士甲坐在黑暗中，運轉著那套已經無法平息痛苦的練氣法，橫放在膝上撫摸著祖父留下的武士刀，想了很久，卻想不到未來能往哪走
就在這時，手機亮了
「想明白生命的意義嗎？想真正地……活著嗎？」
和也沉默地盯著那行字看了幾秒...接著按下了 Yes</t>
  </si>
  <si>
    <t>自我保護(3)</t>
  </si>
  <si>
    <t>彎刀(3)、白刃格檔(4)</t>
  </si>
  <si>
    <t>潘塔</t>
  </si>
  <si>
    <r>
      <rPr>
        <rFont val="Arial"/>
        <b/>
        <color rgb="FFFF0000"/>
        <sz val="12.0"/>
      </rPr>
      <t xml:space="preserve">缺陷
</t>
    </r>
    <r>
      <rPr>
        <rFont val="Arial"/>
        <color theme="1"/>
        <sz val="12.0"/>
      </rPr>
      <t>等級</t>
    </r>
  </si>
  <si>
    <r>
      <rPr>
        <rFont val="Arial"/>
        <b/>
        <color rgb="FFFF0000"/>
        <sz val="12.0"/>
      </rPr>
      <t>缺陷</t>
    </r>
    <r>
      <rPr>
        <rFont val="Arial"/>
        <color theme="1"/>
        <sz val="12.0"/>
      </rPr>
      <t>名稱</t>
    </r>
  </si>
  <si>
    <r>
      <rPr>
        <rFont val="Arial"/>
        <b/>
        <color rgb="FFFF0000"/>
        <sz val="12.0"/>
      </rPr>
      <t>缺陷</t>
    </r>
    <r>
      <rPr>
        <rFont val="Arial"/>
        <color theme="1"/>
        <sz val="12.0"/>
      </rPr>
      <t>效果</t>
    </r>
  </si>
  <si>
    <t>林松</t>
  </si>
  <si>
    <r>
      <rPr>
        <rFont val="Arial"/>
        <b/>
        <color rgb="FFFF00FF"/>
        <sz val="12.0"/>
      </rPr>
      <t>天賦</t>
    </r>
    <r>
      <rPr>
        <rFont val="Arial"/>
        <color theme="1"/>
        <sz val="12.0"/>
      </rPr>
      <t xml:space="preserve">
等級</t>
    </r>
  </si>
  <si>
    <r>
      <rPr>
        <rFont val="Arial"/>
        <b/>
        <color rgb="FFFF00FF"/>
        <sz val="12.0"/>
      </rPr>
      <t>天賦</t>
    </r>
    <r>
      <rPr>
        <rFont val="Arial"/>
        <color theme="1"/>
        <sz val="12.0"/>
      </rPr>
      <t>名稱</t>
    </r>
  </si>
  <si>
    <r>
      <rPr>
        <rFont val="Arial"/>
        <b/>
        <color rgb="FFFF00FF"/>
        <sz val="12.0"/>
      </rPr>
      <t>天賦</t>
    </r>
    <r>
      <rPr>
        <rFont val="Arial"/>
        <color theme="1"/>
        <sz val="12.0"/>
      </rPr>
      <t>效果</t>
    </r>
  </si>
  <si>
    <r>
      <rPr>
        <rFont val="Arial"/>
        <b/>
        <color rgb="FFFF0000"/>
        <sz val="12.0"/>
      </rPr>
      <t xml:space="preserve">缺陷
</t>
    </r>
    <r>
      <rPr>
        <rFont val="Arial"/>
        <color theme="1"/>
        <sz val="12.0"/>
      </rPr>
      <t>等級</t>
    </r>
  </si>
  <si>
    <t>熊貓</t>
  </si>
  <si>
    <r>
      <rPr>
        <rFont val="Arial"/>
        <b/>
        <color rgb="FFFF0000"/>
        <sz val="12.0"/>
      </rPr>
      <t>缺陷</t>
    </r>
    <r>
      <rPr>
        <rFont val="Arial"/>
        <color theme="1"/>
        <sz val="12.0"/>
      </rPr>
      <t>名稱</t>
    </r>
  </si>
  <si>
    <r>
      <rPr>
        <rFont val="Arial"/>
        <b/>
        <color rgb="FFFF0000"/>
        <sz val="12.0"/>
      </rPr>
      <t>缺陷</t>
    </r>
    <r>
      <rPr>
        <rFont val="Arial"/>
        <color theme="1"/>
        <sz val="12.0"/>
      </rPr>
      <t>效果</t>
    </r>
  </si>
  <si>
    <r>
      <rPr>
        <rFont val="Arial"/>
        <b/>
        <color rgb="FFFF00FF"/>
        <sz val="12.0"/>
      </rPr>
      <t>天賦</t>
    </r>
    <r>
      <rPr>
        <rFont val="Arial"/>
        <color theme="1"/>
        <sz val="12.0"/>
      </rPr>
      <t xml:space="preserve">
等級</t>
    </r>
  </si>
  <si>
    <r>
      <rPr>
        <rFont val="Arial"/>
        <b/>
        <color rgb="FFFF00FF"/>
        <sz val="12.0"/>
      </rPr>
      <t>天賦</t>
    </r>
    <r>
      <rPr>
        <rFont val="Arial"/>
        <color theme="1"/>
        <sz val="12.0"/>
      </rPr>
      <t>名稱</t>
    </r>
  </si>
  <si>
    <r>
      <rPr>
        <rFont val="Arial"/>
        <b/>
        <color rgb="FFFF00FF"/>
        <sz val="12.0"/>
      </rPr>
      <t>天賦</t>
    </r>
    <r>
      <rPr>
        <rFont val="Arial"/>
        <color theme="1"/>
        <sz val="12.0"/>
      </rPr>
      <t>效果</t>
    </r>
  </si>
  <si>
    <t>羅</t>
  </si>
  <si>
    <t>林澤(假名:顧沉)</t>
  </si>
  <si>
    <t>觸及</t>
  </si>
  <si>
    <t>210cm</t>
  </si>
  <si>
    <t>120kg</t>
  </si>
  <si>
    <t>20/82</t>
  </si>
  <si>
    <r>
      <rPr>
        <rFont val="Arial"/>
        <b/>
        <color rgb="FFFF0000"/>
        <sz val="12.0"/>
      </rPr>
      <t xml:space="preserve">缺陷
</t>
    </r>
    <r>
      <rPr>
        <rFont val="Arial"/>
        <color theme="1"/>
        <sz val="12.0"/>
      </rPr>
      <t>等級</t>
    </r>
  </si>
  <si>
    <r>
      <rPr>
        <rFont val="Arial"/>
        <b/>
        <color rgb="FFFF0000"/>
        <sz val="12.0"/>
      </rPr>
      <t>缺陷</t>
    </r>
    <r>
      <rPr>
        <rFont val="Arial"/>
        <color theme="1"/>
        <sz val="12.0"/>
      </rPr>
      <t>名稱</t>
    </r>
  </si>
  <si>
    <r>
      <rPr>
        <rFont val="Arial"/>
        <b/>
        <color rgb="FFFF0000"/>
        <sz val="12.0"/>
      </rPr>
      <t>缺陷</t>
    </r>
    <r>
      <rPr>
        <rFont val="Arial"/>
        <color theme="1"/>
        <sz val="12.0"/>
      </rPr>
      <t>效果</t>
    </r>
  </si>
  <si>
    <r>
      <rPr>
        <rFont val="Arial"/>
        <b/>
        <color rgb="FFFF00FF"/>
        <sz val="12.0"/>
      </rPr>
      <t>天賦</t>
    </r>
    <r>
      <rPr>
        <rFont val="Arial"/>
        <color theme="1"/>
        <sz val="12.0"/>
      </rPr>
      <t xml:space="preserve">
等級</t>
    </r>
  </si>
  <si>
    <r>
      <rPr>
        <rFont val="Arial"/>
        <b/>
        <color rgb="FFFF00FF"/>
        <sz val="12.0"/>
      </rPr>
      <t>天賦</t>
    </r>
    <r>
      <rPr>
        <rFont val="Arial"/>
        <color theme="1"/>
        <sz val="12.0"/>
      </rPr>
      <t>名稱</t>
    </r>
  </si>
  <si>
    <r>
      <rPr>
        <rFont val="Arial"/>
        <b/>
        <color rgb="FFFF00FF"/>
        <sz val="12.0"/>
      </rPr>
      <t>天賦</t>
    </r>
    <r>
      <rPr>
        <rFont val="Arial"/>
        <color theme="1"/>
        <sz val="12.0"/>
      </rPr>
      <t>效果</t>
    </r>
  </si>
  <si>
    <t>165cm</t>
  </si>
  <si>
    <t>52kg</t>
  </si>
  <si>
    <t>殤月</t>
  </si>
  <si>
    <t>觀察(初)、聆聽(3)</t>
  </si>
  <si>
    <t>道力</t>
  </si>
  <si>
    <t>9)</t>
  </si>
  <si>
    <t>視覺</t>
  </si>
  <si>
    <t>急救(初)</t>
  </si>
  <si>
    <t>169cm</t>
  </si>
  <si>
    <t>55kg</t>
  </si>
  <si>
    <t>一臉純真，身高不高且纖細，綠色的眼睛</t>
  </si>
  <si>
    <t>普通的黑髮黑瞳少年</t>
  </si>
  <si>
    <t>天然呆，習慣走神，困惑的時候會歪頭，大部分時間溫和，但除魔時絕對專注</t>
  </si>
  <si>
    <t>見人說人話，見鬼說鬼話</t>
  </si>
  <si>
    <t>【異於常人的身高  】
效果：你在進行有關躲藏的相關檢定時承受6DP減值，並且他人針對你進行的調查（偵察）檢定獲得6DP完美加值。</t>
  </si>
  <si>
    <t>巨大身材(建)</t>
  </si>
  <si>
    <t>黑暗視覺</t>
  </si>
  <si>
    <t>先天男娘(建)</t>
  </si>
  <si>
    <t>暈船</t>
  </si>
  <si>
    <t>吐得要死</t>
  </si>
  <si>
    <t>效果：你上癮速度比正常人的快得多，你的發作週期減半，並且禁斷症狀的意志豁免檢定和強韌豁免檢定分別承受6DP減值。</t>
  </si>
  <si>
    <t>特殊身分（現代道士）</t>
  </si>
  <si>
    <t>特殊身份(2)(建)</t>
  </si>
  <si>
    <t>特殊身分（宗門傳人）</t>
  </si>
  <si>
    <t>免疫困難地形</t>
  </si>
  <si>
    <t>空白麵具</t>
  </si>
  <si>
    <t>你不認識我</t>
  </si>
  <si>
    <t>特殊身份(3)(建)</t>
  </si>
  <si>
    <t>由於長期跛腳，導致的腿部狀況</t>
  </si>
  <si>
    <t>【守護市民】
效果：你宣言一個誓言：例如，從不吃藥，絕不攻擊女性，禁止傷害動物，每天必須睡覺，嚴禁施法等。
若沒有做到，則你接下來全檢定承受1DP減值，持續時間為永久，可以疊加。</t>
  </si>
  <si>
    <t>先天道體</t>
  </si>
  <si>
    <t>特殊身份</t>
  </si>
  <si>
    <t>兇蠻打手（建）</t>
  </si>
  <si>
    <t>施法大師</t>
  </si>
  <si>
    <t>魔鬼律師</t>
  </si>
  <si>
    <t>消波塊</t>
  </si>
  <si>
    <t>不傷害小孩</t>
  </si>
  <si>
    <t>生命潛力</t>
  </si>
  <si>
    <t>空空妙手</t>
  </si>
  <si>
    <t>效果：你與非正常人類審美下的所有種族（如鐵血戰士，三體人，深潛者，食屍鬼等）進行的互動系屬性和技能檢定承受3DP減值。</t>
  </si>
  <si>
    <t>悄無聲息</t>
  </si>
  <si>
    <t>警覺</t>
  </si>
  <si>
    <t>收藏癖</t>
  </si>
  <si>
    <t>做個紀念</t>
  </si>
  <si>
    <t>交涉(初)</t>
  </si>
  <si>
    <t>鮮明特徵</t>
  </si>
  <si>
    <t>綠色眼睛</t>
  </si>
  <si>
    <t>效果：針對每一個主線任務，支線任務以及冒險世界，你必須獲得一件紀念品（可以是怪物的牙齒，毛髮，隨身攜帶的物品，或者對你有幫助的東西，或者戰鬥地點特殊的裝飾物，工藝品），若你沒有得到，或者因為某些原因遺失，則你接下來全檢定承受1DP減值，持續時間為永久，可以疊加。</t>
  </si>
  <si>
    <t>夜視</t>
  </si>
  <si>
    <t>野外求生</t>
  </si>
  <si>
    <t>柔韌身體</t>
  </si>
  <si>
    <t>遠離毒品</t>
  </si>
  <si>
    <t>清淨修心、簡樸生活、不競爭名利</t>
  </si>
  <si>
    <t>旱鴨子 (游泳檢定承受6DP減值)</t>
  </si>
  <si>
    <t xml:space="preserve">潘塔自幼與姊姊相依為命，生活的城市滿是霓虹宛如賽博2077，白日時往如正常世界，充滿科技與現代感，一到夜晚就成了怪物的狩獵場，怪物會獵殺市民尤其是女性、小孩，雖然怪物在常人的認知僅是傳聞，就像嚇孩子讓孩子乖乖睡覺的謊言。
但是潘塔知道怪物是存在的，當天天色昏暗，僅有霓虹照明，潘塔與姊姊在採買的歸途中遭遇怪物，怪物將姊弟逼入暗巷，姊姊為保護年幼的自己，將自己藏在巷內的垃圾桶後，便跳出去引走怪物，最後被怪物奪走了一隻腿，所幸在即將被殺之前，被一個誓言守護市民的非官方組織【午夜女郎】救下，姊弟倆為了報恩加入了這個組織。
加入了【午夜女郎】後，姊姊因傷成了文職人員，而潘塔為了報仇，也為了不希望有其他人向姊姊一樣，潘塔接受訓練，成為了組織中的戰鬥人員，或許是天賦異稟，潘塔天生有著優異的身體素質，並且不必依靠化妝或變裝就被他人視為女性，這在夜晚中引誘怪物，有著天然的優勢。
某夜潘塔如往常般，走在暗巷引誘怪物，打算如往常般與隊友伏殺怪物時發生意外，這次遇到的怪物實力強大、機制特殊，潘塔與隊友一番嘗試後，只好依照SOP進行撤退，回到安全屋後，潘塔在他的Pad上收到了一條訊息
【弱小的你，願意變得更強大嗎?】【YES Or NO】
【YES】
</t>
  </si>
  <si>
    <t>自我保護(建)平衡感(3)逃脫(4)</t>
  </si>
  <si>
    <t>銳利：使用本武器攻擊沒有盔甲防禦和盾牌防禦的目標時，武器傷害增加1點。
彎曲：使用本武器攻擊時，忽略目標1點格擋防禦。</t>
  </si>
  <si>
    <t>即使是科學發達的現代，古老的道教和仙神文化依舊在傳承著，大部分人可能相信、可能不信，但在名為「宗教」與「哲學」面紗後，是名為「神秘」的秘藏…
林松是一個孤兒，原本是在一所孤兒院成長，他一直都是溫和而有些散漫的孩子，別說什麼他都是笑著、沒什麼主見，雖然從小腿腳就不利索也常常恍神，但很少因為這樣而摔跤、跌倒，跟其餘小朋友一樣有些貧困的生活著，直到準備上小學的前一個月，被一個神秘老中醫領養走。
「你的根骨不一般，脈相活力比其他人充盈許多，腿腳不利索就是生不逢時的天命…」他牽著林松的手和藹笑著，一邊說著林松當時還聽不懂的話一邊帶他回到一個陳舊但精心打理的三合院。
等安頓好後，林松就常常在晚上的時候跟老中醫一起看診、處理草藥、學習中醫、把脈之類的技能，而他也在週末的時候常常陪老中醫一起到野外山郊去尋找野生的草藥，他也十分喜愛與大自然和草木之類的植物親近，他所種植的草藥也都長得比其他人所種植的還要茂盛、快速，但與他這樣綠手指相反的則是他糟糕的動物緣，許多動物都不喜歡他，甚至連尋常家貓家犬都不願親近。
雖然林松時常走神導致上課容易不專心，時常被老師責備，但老中醫並沒有阻止這樣的行為，反而是教導他一些拗口又生澀的口訣和道理，然後訓練他在放空的時候去觀想一些植物的畫面，他也沒什麼意見的聽從，直到…
「碰！」某一次他獨自踩尋草藥的時候走神，而他這次的走神卻十分要命的直接讓他摔下山坡，而他緊縮身體避免受傷的時候，身體突然被一個氣流環繞，讓他僅是輕微的擦挫傷，而等到老中醫急忙來查看的時候，他半是欣喜半是遺憾的如此說道—「是木靈根啊，可惜生在末法時代…」。而後，他被教導如何去使用這股天生的力量，直到能釋放一個最初階，但也是超凡的道法—「五行道法」。
好日子總是不常，因為林松散漫而時常走神、成績不好又常常不在下課與其餘同學交往的個性，他在國高中並沒有太多的深交，而且就在高二的那年暑假，老中醫去世了，他在臨終之前將房子、藥鋪和他此生最珍惜的東西—一把繡有松柏竹的青色扇子，都託付給他就離世了。
而林松在辦完喪事過了百日後，他望著老中醫的骨灰罈出神，難得的在思考未來應該如何之時…
「你渴望獲得新生嗎？渴望獲得更高的境界？」
雖然林松本來對這些沒有太多想法，但老中醫常歎可惜，說他在此也只能讓他的靈根生灰，也常常妄想他能到更高的境界去看看，因此他決定遵從老中醫的期許，帶著不安和隱隱的期待消失在了藥鋪中…</t>
  </si>
  <si>
    <t>全力</t>
  </si>
  <si>
    <t>平衡感（3）</t>
  </si>
  <si>
    <t>林澤，男，二十一歲。外表只是城市裡最不起眼的年輕人——沉默、瘦削，眼神乾淨得像沒故事。但如果你真正認識他就會發現那份乾淨，這只是他最擅長的偽裝。他出生在一個平凡的家庭，父母離婚後，他像被踢皮球一樣在親戚間轉來轉去。沒人想真正照顧他，大人們總是挑刺，想盡各種辦法把他送走。他開始學會說謊——說自己吃飽了、說自己不冷、說自己沒事，只求在能獨立之前保證自己不被餓死。
他第一次偷東西是在七歲那年。不是為了刺激，也不是叛逆，只是因為餓了。他偷了一個麵包，被老闆抓住。在老闆報警的恐懼下，他哭著跪下來，說自己好幾天沒吃飯，快餓死了才不得已偷東西，老闆這才心軟放過了他。那一天，他學會了把演戲當作武器，也明白想活下去，就得靠自己爭取。
十五歲那年，林澤被街頭混混盯上。他不夠能打，也不夠狠，但他夠聰明。他懂得把恐懼藏起來，懂得用眼神裝得無所謂，甚至能笑著和人聊天，下一秒就把對方的錢包從口袋裡抽走。他在城市的縫隙裡活著：地下通道、夜市、網咖、廢棄大樓。他靠偷竊換飯吃，靠謊言換安全。他能偽裝成迷路的學生、倒黴的打工仔、剛失戀的可憐人，甚至扮成熱心志工，笑著幫你提行李，順手摸走你的手機。他能在幾分鐘內學會一個人的語氣、習慣與走路姿勢，說謊時眼睛乾淨得讓人相信他才是受害者。靠著這份天賦，他的“工作”開始“進階”——替人偷資料、偷車牌、調包物品，甚至把假文件塞進真正的檔案裡。他做得越來越熟練，把這一切融入生命裡，戴著面具遊走在各個角落。
他住在一間狹小的出租屋裡，抽屜放著假證件與不同名字的銀行卡，唯一算重要的物品只有一雙手套，那個是一次進行任務時順回來的戰利品。當時富裕的時間只夠他再取走一樣東西，內心的直覺告訴他這個東西會對他有幫助，他便把它帶走了。不知道是不是他的錯覺戴上手套後進行工作的時候變得更加得心應手，從此以後便一直戴著不曾取下。一路走來他靠的不是勇敢，而是一張又一張的面具。他有很多名字，但沒有一個真正屬於他。他嘴上說「人活著不需要原則」，卻仍保留底線——從不傷害小孩。不是因為善良，而是因為他知道一旦跨過那條線，就再也回不了頭。直到某天，他的手機跳出一條訊息：「想明白生命的意義嗎？想真正地……活著嗎？」他的手指習慣性的停在No上很久，直到螢幕快熄滅的前一刻，還是選擇忠於內心按按下了Yes......</t>
  </si>
  <si>
    <t>大型</t>
  </si>
  <si>
    <t>自我保護(建)自然環境生存(3)</t>
  </si>
  <si>
    <t>長劍(3)、白刃格擋(4)</t>
  </si>
  <si>
    <t>怪物辨識(3)</t>
  </si>
  <si>
    <t>荒野求生（3）追蹤（天）自我保護（天）</t>
  </si>
  <si>
    <t>釘槍</t>
  </si>
  <si>
    <t>搜索(3)</t>
  </si>
  <si>
    <t>診斷（aka把脈）（3）</t>
  </si>
  <si>
    <t>免疫B級接觸攻擊</t>
  </si>
  <si>
    <t>自我保護(建)、堅定立場(3)</t>
  </si>
  <si>
    <t>道術（3）</t>
  </si>
  <si>
    <t>忽略8點高速優勢</t>
  </si>
  <si>
    <t>咆哮(3)</t>
  </si>
  <si>
    <t>堅定立場（3）自我保護（4）</t>
  </si>
  <si>
    <t>演奏</t>
  </si>
  <si>
    <t>全力攻擊</t>
  </si>
  <si>
    <t>【兇蠻打手】</t>
  </si>
  <si>
    <t>唬騙，偽裝</t>
  </si>
  <si>
    <t>五行道法</t>
  </si>
  <si>
    <t>17+1 風度4+神秘學5+器械3+專長3+威力值2 造成純能量傷害</t>
  </si>
  <si>
    <t>徒手肉搏攻擊</t>
  </si>
  <si>
    <t>大麴劍</t>
  </si>
  <si>
    <t>手機</t>
  </si>
  <si>
    <t>破損的武士甲</t>
  </si>
  <si>
    <t>破損的護甲</t>
  </si>
  <si>
    <t>【防彈】【免疫B級接觸攻擊】【忽略8點高速優勢】</t>
  </si>
  <si>
    <t>特深2+怪癖</t>
  </si>
  <si>
    <t>閃避與格檔2&gt;3</t>
  </si>
  <si>
    <t>掩飾0&gt;1</t>
  </si>
  <si>
    <t>道術施法者</t>
  </si>
  <si>
    <t>無支線</t>
  </si>
  <si>
    <t>剩餘分數回收</t>
  </si>
  <si>
    <t>五行道法—風</t>
  </si>
  <si>
    <t>餐廳的電話</t>
  </si>
  <si>
    <t>物資紙袋</t>
  </si>
  <si>
    <t>防彈衣物Ⅰ型(3/3)【防彈】3KG</t>
  </si>
  <si>
    <t>定製長劍2L【破甲2】2KG</t>
  </si>
  <si>
    <t>八卦盤</t>
  </si>
  <si>
    <t>八卦扇</t>
  </si>
  <si>
    <t>特2(500)防彈衣物Ⅰ型</t>
  </si>
  <si>
    <t>特3(500)定製長劍</t>
  </si>
  <si>
    <t>怪癖10XP-9(側滑步1+2)</t>
  </si>
  <si>
    <t>標準通訊器</t>
  </si>
  <si>
    <t>微型竊聽器</t>
  </si>
  <si>
    <t>小型錄音器</t>
  </si>
  <si>
    <t>竊賊手套</t>
  </si>
  <si>
    <t>微型攝像頭</t>
  </si>
  <si>
    <t>開場，怪癖*5、特身1+特身2</t>
  </si>
  <si>
    <t>微型遙控擴音器</t>
  </si>
  <si>
    <t>開場購買</t>
  </si>
  <si>
    <t>人皮面具</t>
  </si>
  <si>
    <t>COSPLAY套裝</t>
  </si>
  <si>
    <t>D1000</t>
  </si>
  <si>
    <t>開卡特殊身份購物</t>
  </si>
  <si>
    <t>葫蘆大獎</t>
  </si>
  <si>
    <t>新年禮物</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</si>
</sst>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quot;+&quot;0"/>
    <numFmt numFmtId="166" formatCode="&quot;/&quot;0"/>
  </numFmts>
  <fonts count="88">
    <font>
      <sz val="10.0"/>
      <color rgb="FF000000"/>
      <name val="Arial"/>
      <scheme val="minor"/>
    </font>
    <font>
      <b/>
      <sz val="12.0"/>
      <color theme="1"/>
      <name val="Arial"/>
      <scheme val="minor"/>
    </font>
    <font>
      <b/>
      <sz val="12.0"/>
      <color theme="1"/>
      <name val="Arial"/>
    </font>
    <font>
      <color theme="1"/>
      <name val="Arial"/>
      <scheme val="minor"/>
    </font>
    <font>
      <b/>
      <color rgb="FFFF00FF"/>
      <name val="Arial"/>
      <scheme val="minor"/>
    </font>
    <font>
      <b/>
      <color theme="1"/>
      <name val="Arial"/>
      <scheme val="minor"/>
    </font>
    <font>
      <sz val="12.0"/>
      <color theme="1"/>
      <name val="Arial"/>
      <scheme val="minor"/>
    </font>
    <font>
      <b/>
      <sz val="24.0"/>
      <color rgb="FF000000"/>
      <name val="Arial"/>
      <scheme val="minor"/>
    </font>
    <font>
      <b/>
      <color rgb="FFFF00FF"/>
      <name val="&quot;新細明體&quot;"/>
    </font>
    <font>
      <b/>
      <color rgb="FFFF0000"/>
      <name val="&quot;新細明體&quot;"/>
    </font>
    <font>
      <b/>
      <color theme="1"/>
      <name val="&quot;Arial&quot;"/>
    </font>
    <font>
      <color theme="1"/>
      <name val="&quot;新細明體&quot;"/>
    </font>
    <font>
      <b/>
      <color theme="1"/>
      <name val="&quot;新細明體&quot;"/>
    </font>
    <font>
      <color theme="1"/>
      <name val="&quot;Arial&quot;"/>
    </font>
    <font>
      <b/>
      <sz val="24.0"/>
      <color theme="1"/>
      <name val="&quot;新細明體&quot;"/>
    </font>
    <font>
      <b/>
      <color rgb="FFFF00FF"/>
      <name val="&quot;Arial&quot;"/>
    </font>
    <font>
      <sz val="12.0"/>
      <color rgb="FFFFFFFF"/>
      <name val="Arial"/>
      <scheme val="minor"/>
    </font>
    <font/>
    <font>
      <b/>
      <sz val="12.0"/>
      <color rgb="FFFFFFFF"/>
      <name val="Arial"/>
      <scheme val="minor"/>
    </font>
    <font>
      <b/>
      <sz val="12.0"/>
      <color rgb="FF000000"/>
      <name val="Arial"/>
      <scheme val="minor"/>
    </font>
    <font>
      <b/>
      <sz val="18.0"/>
      <color rgb="FF000000"/>
      <name val="Arial"/>
      <scheme val="minor"/>
    </font>
    <font>
      <b/>
      <sz val="18.0"/>
      <color theme="1"/>
      <name val="Arial"/>
      <scheme val="minor"/>
    </font>
    <font>
      <b/>
      <sz val="10.0"/>
      <color rgb="FFFF0000"/>
      <name val="Arial"/>
      <scheme val="minor"/>
    </font>
    <font>
      <sz val="9.0"/>
      <color theme="1"/>
      <name val="Arial"/>
      <scheme val="minor"/>
    </font>
    <font>
      <b/>
      <sz val="10.0"/>
      <color rgb="FFFF00FF"/>
      <name val="Arial"/>
      <scheme val="minor"/>
    </font>
    <font>
      <sz val="10.0"/>
      <color theme="1"/>
      <name val="Arial"/>
      <scheme val="minor"/>
    </font>
    <font>
      <sz val="8.0"/>
      <color rgb="FFFFFFFF"/>
      <name val="Arial"/>
      <scheme val="minor"/>
    </font>
    <font>
      <sz val="12.0"/>
      <color rgb="FFFFFFFF"/>
      <name val="Arial"/>
    </font>
    <font>
      <b/>
      <color theme="1"/>
      <name val="Arial"/>
    </font>
    <font>
      <color theme="1"/>
      <name val="Arial"/>
    </font>
    <font>
      <b/>
      <sz val="12.0"/>
      <color rgb="FF9900FF"/>
      <name val="Arial"/>
      <scheme val="minor"/>
    </font>
    <font>
      <sz val="9.0"/>
      <color rgb="FF000000"/>
      <name val="Arial"/>
      <scheme val="minor"/>
    </font>
    <font>
      <b/>
      <sz val="7.0"/>
      <color rgb="FF9900FF"/>
      <name val="Arial"/>
      <scheme val="minor"/>
    </font>
    <font>
      <b/>
      <sz val="6.0"/>
      <color rgb="FF9900FF"/>
      <name val="Arial"/>
      <scheme val="minor"/>
    </font>
    <font>
      <b/>
      <sz val="12.0"/>
      <color rgb="FFFFFFFF"/>
      <name val="Arial"/>
    </font>
    <font>
      <b/>
      <sz val="11.0"/>
      <color theme="1"/>
      <name val="Arial"/>
    </font>
    <font>
      <sz val="12.0"/>
      <color rgb="FF000000"/>
      <name val="Arial"/>
      <scheme val="minor"/>
    </font>
    <font>
      <b/>
      <sz val="11.0"/>
      <color theme="1"/>
      <name val="Arial"/>
      <scheme val="minor"/>
    </font>
    <font>
      <sz val="8.0"/>
      <color rgb="FF000000"/>
      <name val="Arial"/>
      <scheme val="minor"/>
    </font>
    <font>
      <b/>
      <sz val="10.0"/>
      <color rgb="FFFFFFFF"/>
      <name val="Arial"/>
      <scheme val="minor"/>
    </font>
    <font>
      <b/>
      <color rgb="FFFFFFFF"/>
      <name val="Arial"/>
    </font>
    <font>
      <b/>
      <sz val="10.0"/>
      <color theme="1"/>
      <name val="Arial"/>
    </font>
    <font>
      <sz val="10.0"/>
      <color theme="1"/>
      <name val="Arial"/>
    </font>
    <font>
      <b/>
      <sz val="11.0"/>
      <color rgb="FF000000"/>
      <name val="Arial"/>
      <scheme val="minor"/>
    </font>
    <font>
      <sz val="11.0"/>
      <color rgb="FF000000"/>
      <name val="Arial"/>
      <scheme val="minor"/>
    </font>
    <font>
      <b/>
      <color rgb="FF6AA84F"/>
      <name val="Arial"/>
      <scheme val="minor"/>
    </font>
    <font>
      <b/>
      <sz val="12.0"/>
      <color rgb="FF0000FF"/>
      <name val="Arial"/>
      <scheme val="minor"/>
    </font>
    <font>
      <color rgb="FFF3F3F3"/>
      <name val="Arial"/>
      <scheme val="minor"/>
    </font>
    <font>
      <b/>
      <sz val="14.0"/>
      <color rgb="FF9900FF"/>
      <name val="Arial"/>
      <scheme val="minor"/>
    </font>
    <font>
      <b/>
      <sz val="13.0"/>
      <color rgb="FF9900FF"/>
      <name val="Arial"/>
      <scheme val="minor"/>
    </font>
    <font>
      <b/>
      <strike/>
      <sz val="18.0"/>
      <color rgb="FF9900FF"/>
      <name val="Arial"/>
      <scheme val="minor"/>
    </font>
    <font>
      <b/>
      <sz val="15.0"/>
      <color rgb="FF9900FF"/>
      <name val="Arial"/>
      <scheme val="minor"/>
    </font>
    <font>
      <color rgb="FF9900FF"/>
      <name val="Arial"/>
      <scheme val="minor"/>
    </font>
    <font>
      <b/>
      <sz val="24.0"/>
      <color rgb="FF0000FF"/>
      <name val="Arial"/>
      <scheme val="minor"/>
    </font>
    <font>
      <b/>
      <strike/>
      <sz val="24.0"/>
      <color rgb="FF0000FF"/>
      <name val="Arial"/>
      <scheme val="minor"/>
    </font>
    <font>
      <sz val="24.0"/>
      <color rgb="FF0000FF"/>
      <name val="Arial"/>
      <scheme val="minor"/>
    </font>
    <font>
      <strike/>
      <sz val="12.0"/>
      <color theme="1"/>
      <name val="Arial"/>
      <scheme val="minor"/>
    </font>
    <font>
      <b/>
      <u/>
      <sz val="11.0"/>
      <color theme="1"/>
      <name val="Arial"/>
      <scheme val="minor"/>
    </font>
    <font>
      <b/>
      <u/>
      <sz val="11.0"/>
      <color theme="1"/>
      <name val="Arial"/>
      <scheme val="minor"/>
    </font>
    <font>
      <b/>
      <u/>
      <sz val="11.0"/>
      <color theme="1"/>
      <name val="Arial"/>
      <scheme val="minor"/>
    </font>
    <font>
      <b/>
      <u/>
      <sz val="11.0"/>
      <color theme="1"/>
      <name val="Arial"/>
      <scheme val="minor"/>
    </font>
    <font>
      <b/>
      <u/>
      <sz val="12.0"/>
      <color theme="1"/>
      <name val="Arial"/>
      <scheme val="minor"/>
    </font>
    <font>
      <b/>
      <u/>
      <sz val="12.0"/>
      <color theme="1"/>
      <name val="Arial"/>
      <scheme val="minor"/>
    </font>
    <font>
      <b/>
      <u/>
      <sz val="10.0"/>
      <color theme="1"/>
      <name val="Arial"/>
      <scheme val="minor"/>
    </font>
    <font>
      <b/>
      <u/>
      <sz val="10.0"/>
      <color theme="1"/>
      <name val="Arial"/>
      <scheme val="minor"/>
    </font>
    <font>
      <sz val="12.0"/>
      <color rgb="FF9900FF"/>
      <name val="Arial"/>
      <scheme val="minor"/>
    </font>
    <font>
      <sz val="12.0"/>
      <color rgb="FF0000FF"/>
      <name val="Arial"/>
      <scheme val="minor"/>
    </font>
    <font>
      <b/>
      <sz val="18.0"/>
      <color rgb="FF9900FF"/>
      <name val="Arial"/>
      <scheme val="minor"/>
    </font>
    <font>
      <b/>
      <u/>
      <sz val="14.0"/>
      <color rgb="FF9900FF"/>
      <name val="Arial"/>
      <scheme val="minor"/>
    </font>
    <font>
      <b/>
      <color rgb="FF9900FF"/>
      <name val="Arial"/>
      <scheme val="minor"/>
    </font>
    <font>
      <b/>
      <u/>
      <sz val="12.0"/>
      <color theme="1"/>
      <name val="Arial"/>
      <scheme val="minor"/>
    </font>
    <font>
      <u/>
      <sz val="18.0"/>
      <color rgb="FF9900FF"/>
      <name val="Arial"/>
      <scheme val="minor"/>
    </font>
    <font>
      <u/>
      <sz val="24.0"/>
      <color rgb="FF0000FF"/>
      <name val="Arial"/>
      <scheme val="minor"/>
    </font>
    <font>
      <b/>
      <u/>
      <sz val="9.0"/>
      <color theme="1"/>
      <name val="Arial"/>
      <scheme val="minor"/>
    </font>
    <font>
      <sz val="18.0"/>
      <color theme="1"/>
      <name val="Arial"/>
      <scheme val="minor"/>
    </font>
    <font>
      <b/>
      <color rgb="FFFFFFFF"/>
      <name val="Arial"/>
      <scheme val="minor"/>
    </font>
    <font>
      <color rgb="FFFFFFFF"/>
      <name val="Arial"/>
      <scheme val="minor"/>
    </font>
    <font>
      <sz val="24.0"/>
      <color theme="1"/>
      <name val="Arial"/>
      <scheme val="minor"/>
    </font>
    <font>
      <sz val="18.0"/>
      <color theme="1"/>
      <name val="Arial"/>
    </font>
    <font>
      <sz val="12.0"/>
      <color theme="1"/>
      <name val="Arial"/>
    </font>
    <font>
      <b/>
      <sz val="16.0"/>
      <color theme="1"/>
      <name val="Arial"/>
      <scheme val="minor"/>
    </font>
    <font>
      <b/>
      <sz val="10.0"/>
      <color theme="1"/>
      <name val="Arial"/>
      <scheme val="minor"/>
    </font>
    <font>
      <b/>
      <sz val="8.0"/>
      <color rgb="FF9900FF"/>
      <name val="Arial"/>
      <scheme val="minor"/>
    </font>
    <font>
      <sz val="8.0"/>
      <color theme="1"/>
      <name val="Arial"/>
    </font>
    <font>
      <b/>
      <sz val="12.0"/>
      <color rgb="FF9900FF"/>
      <name val="Arial"/>
    </font>
    <font>
      <b/>
      <sz val="9.0"/>
      <color rgb="FF9900FF"/>
      <name val="Arial"/>
      <scheme val="minor"/>
    </font>
    <font>
      <sz val="8.0"/>
      <color theme="1"/>
      <name val="Arial"/>
      <scheme val="minor"/>
    </font>
    <font>
      <b/>
      <sz val="11.0"/>
      <color rgb="FF9900FF"/>
      <name val="Arial"/>
      <scheme val="minor"/>
    </font>
  </fonts>
  <fills count="26">
    <fill>
      <patternFill patternType="none"/>
    </fill>
    <fill>
      <patternFill patternType="lightGray"/>
    </fill>
    <fill>
      <patternFill patternType="solid">
        <fgColor rgb="FFCCCCCC"/>
        <bgColor rgb="FFCCCCCC"/>
      </patternFill>
    </fill>
    <fill>
      <patternFill patternType="solid">
        <fgColor rgb="FF434343"/>
        <bgColor rgb="FF434343"/>
      </patternFill>
    </fill>
    <fill>
      <patternFill patternType="solid">
        <fgColor rgb="FF000000"/>
        <bgColor rgb="FF000000"/>
      </patternFill>
    </fill>
    <fill>
      <patternFill patternType="solid">
        <fgColor rgb="FFF3F3F3"/>
        <bgColor rgb="FFF3F3F3"/>
      </patternFill>
    </fill>
    <fill>
      <patternFill patternType="solid">
        <fgColor rgb="FFD9D9D9"/>
        <bgColor rgb="FFD9D9D9"/>
      </patternFill>
    </fill>
    <fill>
      <patternFill patternType="solid">
        <fgColor rgb="FF666666"/>
        <bgColor rgb="FF666666"/>
      </patternFill>
    </fill>
    <fill>
      <patternFill patternType="solid">
        <fgColor rgb="FFB7E1CD"/>
        <bgColor rgb="FFB7E1CD"/>
      </patternFill>
    </fill>
    <fill>
      <patternFill patternType="solid">
        <fgColor rgb="FF6D9EEB"/>
        <bgColor rgb="FF6D9EEB"/>
      </patternFill>
    </fill>
    <fill>
      <patternFill patternType="solid">
        <fgColor rgb="FF93C47D"/>
        <bgColor rgb="FF93C47D"/>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FFFFFF"/>
        <bgColor rgb="FFFFFFFF"/>
      </patternFill>
    </fill>
    <fill>
      <patternFill patternType="solid">
        <fgColor rgb="FF999999"/>
        <bgColor rgb="FF999999"/>
      </patternFill>
    </fill>
    <fill>
      <patternFill patternType="solid">
        <fgColor rgb="FFC9DAF8"/>
        <bgColor rgb="FFC9DAF8"/>
      </patternFill>
    </fill>
    <fill>
      <patternFill patternType="solid">
        <fgColor rgb="FFA2C4C9"/>
        <bgColor rgb="FFA2C4C9"/>
      </patternFill>
    </fill>
    <fill>
      <patternFill patternType="solid">
        <fgColor rgb="FFF9CB9C"/>
        <bgColor rgb="FFF9CB9C"/>
      </patternFill>
    </fill>
    <fill>
      <patternFill patternType="solid">
        <fgColor rgb="FFA4C2F4"/>
        <bgColor rgb="FFA4C2F4"/>
      </patternFill>
    </fill>
    <fill>
      <patternFill patternType="solid">
        <fgColor rgb="FFD0E0E3"/>
        <bgColor rgb="FFD0E0E3"/>
      </patternFill>
    </fill>
    <fill>
      <patternFill patternType="solid">
        <fgColor rgb="FFF4CCCC"/>
        <bgColor rgb="FFF4CCCC"/>
      </patternFill>
    </fill>
    <fill>
      <patternFill patternType="solid">
        <fgColor rgb="FFEFEFEF"/>
        <bgColor rgb="FFEFEFEF"/>
      </patternFill>
    </fill>
    <fill>
      <patternFill patternType="solid">
        <fgColor rgb="FFD5A6BD"/>
        <bgColor rgb="FFD5A6BD"/>
      </patternFill>
    </fill>
    <fill>
      <patternFill patternType="solid">
        <fgColor rgb="FFB6D7A8"/>
        <bgColor rgb="FFB6D7A8"/>
      </patternFill>
    </fill>
    <fill>
      <patternFill patternType="solid">
        <fgColor rgb="FF6FA8DC"/>
        <bgColor rgb="FF6FA8DC"/>
      </patternFill>
    </fill>
  </fills>
  <borders count="102">
    <border/>
    <border>
      <left style="thin">
        <color rgb="FF000000"/>
      </left>
      <right style="thin">
        <color rgb="FF000000"/>
      </right>
      <top style="thin">
        <color rgb="FF000000"/>
      </top>
      <bottom style="thin">
        <color rgb="FF000000"/>
      </bottom>
    </border>
    <border>
      <right style="medium">
        <color rgb="FF000000"/>
      </right>
    </border>
    <border>
      <left style="thin">
        <color rgb="FFFFFFFF"/>
      </left>
      <right style="hair">
        <color rgb="FFFFFFFF"/>
      </right>
      <top style="thin">
        <color rgb="FFFFFFFF"/>
      </top>
      <bottom style="thin">
        <color rgb="FFFFFFFF"/>
      </bottom>
    </border>
    <border>
      <left style="hair">
        <color rgb="FFFFFFFF"/>
      </left>
      <right style="hair">
        <color rgb="FFFFFFFF"/>
      </right>
    </border>
    <border>
      <left style="hair">
        <color rgb="FFFFFFFF"/>
      </left>
      <right style="hair">
        <color rgb="FFFFFFFF"/>
      </right>
      <top style="thin">
        <color rgb="FFFFFFFF"/>
      </top>
    </border>
    <border>
      <left style="hair">
        <color rgb="FFFFFFFF"/>
      </left>
      <right style="hair">
        <color rgb="FFFFFFFF"/>
      </right>
      <bottom style="hair">
        <color rgb="FFFFFFFF"/>
      </bottom>
    </border>
    <border>
      <left style="hair">
        <color rgb="FFFFFFFF"/>
      </left>
      <bottom style="hair">
        <color rgb="FFFFFFFF"/>
      </bottom>
    </border>
    <border>
      <left style="thin">
        <color rgb="FFFFFFFF"/>
      </left>
      <top style="thin">
        <color rgb="FFFFFFFF"/>
      </top>
      <bottom style="thin">
        <color rgb="FFFFFFFF"/>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top style="hair">
        <color rgb="FFFFFFFF"/>
      </top>
      <bottom style="hair">
        <color rgb="FFFFFFFF"/>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right style="medium">
        <color rgb="FF000000"/>
      </right>
      <top style="thin">
        <color rgb="FF000000"/>
      </top>
      <bottom style="thin">
        <color rgb="FF000000"/>
      </bottom>
    </border>
    <border>
      <right style="thick">
        <color rgb="FF0000FF"/>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border>
    <border>
      <left style="hair">
        <color rgb="FFFFFFFF"/>
      </left>
      <top style="hair">
        <color rgb="FFFFFFFF"/>
      </top>
      <bottom style="hair">
        <color rgb="FFFFFFFF"/>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FFFFFF"/>
      </left>
      <right style="hair">
        <color rgb="FFFFFFFF"/>
      </right>
    </border>
    <border>
      <left style="hair">
        <color rgb="FFFFFFFF"/>
      </left>
      <right style="hair">
        <color rgb="FFFFFFFF"/>
      </right>
      <top style="hair">
        <color rgb="FFFFFFFF"/>
      </top>
    </border>
    <border>
      <left style="hair">
        <color rgb="FFFFFFFF"/>
      </left>
    </border>
    <border>
      <right style="hair">
        <color rgb="FFFFFFFF"/>
      </right>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thick">
        <color rgb="FF000000"/>
      </left>
      <top style="thick">
        <color rgb="FF000000"/>
      </top>
      <bottom style="thin">
        <color rgb="FF000000"/>
      </bottom>
    </border>
    <border>
      <top style="thick">
        <color rgb="FF000000"/>
      </top>
      <bottom style="thin">
        <color rgb="FF000000"/>
      </bottom>
    </border>
    <border>
      <left style="thin">
        <color rgb="FF000000"/>
      </left>
      <top style="thick">
        <color rgb="FF000000"/>
      </top>
      <bottom style="thin">
        <color rgb="FF000000"/>
      </bottom>
    </border>
    <border>
      <right style="thick">
        <color rgb="FF000000"/>
      </right>
      <top style="thick">
        <color rgb="FF000000"/>
      </top>
      <bottom style="thin">
        <color rgb="FF000000"/>
      </bottom>
    </border>
    <border>
      <top style="thick">
        <color rgb="FF000000"/>
      </top>
    </border>
    <border>
      <right style="thin">
        <color rgb="FF000000"/>
      </right>
      <top style="thick">
        <color rgb="FF000000"/>
      </top>
    </border>
    <border>
      <left style="thin">
        <color rgb="FF000000"/>
      </left>
      <top style="thick">
        <color rgb="FF000000"/>
      </top>
    </border>
    <border>
      <right style="thick">
        <color rgb="FF000000"/>
      </right>
      <top style="thick">
        <color rgb="FF000000"/>
      </top>
    </border>
    <border>
      <left style="medium">
        <color rgb="FF000000"/>
      </left>
      <top style="thin">
        <color rgb="FF000000"/>
      </top>
      <bottom style="thin">
        <color rgb="FF000000"/>
      </bottom>
    </border>
    <border>
      <top style="hair">
        <color rgb="FFFFFFFF"/>
      </top>
      <bottom style="thin">
        <color rgb="FFFFFFFF"/>
      </bottom>
    </border>
    <border>
      <left style="thick">
        <color rgb="FF000000"/>
      </left>
      <top style="thin">
        <color rgb="FF000000"/>
      </top>
    </border>
    <border>
      <left style="thick">
        <color rgb="FF000000"/>
      </left>
    </border>
    <border>
      <right style="thick">
        <color rgb="FF000000"/>
      </right>
    </border>
    <border>
      <right style="thick">
        <color rgb="FF000000"/>
      </right>
      <top style="thin">
        <color rgb="FF000000"/>
      </top>
      <bottom style="thin">
        <color rgb="FF000000"/>
      </bottom>
    </border>
    <border>
      <left style="medium">
        <color rgb="FF000000"/>
      </left>
      <top style="thin">
        <color rgb="FF000000"/>
      </top>
    </border>
    <border>
      <top style="thin">
        <color rgb="FFFFFFFF"/>
      </top>
      <bottom style="thin">
        <color rgb="FFFFFFFF"/>
      </bottom>
    </border>
    <border>
      <left style="thick">
        <color rgb="FF000000"/>
      </left>
      <bottom style="thick">
        <color rgb="FF000000"/>
      </bottom>
    </border>
    <border>
      <bottom style="thick">
        <color rgb="FF000000"/>
      </bottom>
    </border>
    <border>
      <right style="thick">
        <color rgb="FF000000"/>
      </right>
      <bottom style="thick">
        <color rgb="FF000000"/>
      </bottom>
    </border>
    <border>
      <right style="thin">
        <color rgb="FF000000"/>
      </right>
      <bottom style="thick">
        <color rgb="FF000000"/>
      </bottom>
    </border>
    <border>
      <left style="thin">
        <color rgb="FF000000"/>
      </left>
      <bottom style="thick">
        <color rgb="FF000000"/>
      </bottom>
    </border>
    <border>
      <top style="thin">
        <color rgb="FF000000"/>
      </top>
      <bottom style="thick">
        <color rgb="FF000000"/>
      </bottom>
    </border>
    <border>
      <right style="thick">
        <color rgb="FF000000"/>
      </right>
      <top style="thin">
        <color rgb="FF000000"/>
      </top>
      <bottom style="thick">
        <color rgb="FF000000"/>
      </bottom>
    </border>
    <border>
      <left style="medium">
        <color rgb="FF000000"/>
      </left>
      <bottom style="medium">
        <color rgb="FF000000"/>
      </bottom>
    </border>
    <border>
      <bottom style="medium">
        <color rgb="FF000000"/>
      </bottom>
    </border>
    <border>
      <right style="thin">
        <color rgb="FF000000"/>
      </right>
      <bottom style="medium">
        <color rgb="FF000000"/>
      </bottom>
    </border>
    <border>
      <left style="thin">
        <color rgb="FF000000"/>
      </left>
      <bottom style="medium">
        <color rgb="FF000000"/>
      </bottom>
    </border>
    <border>
      <right style="medium">
        <color rgb="FF000000"/>
      </right>
      <top style="thin">
        <color rgb="FF000000"/>
      </top>
      <bottom style="medium">
        <color rgb="FF000000"/>
      </bottom>
    </border>
    <border>
      <left style="medium">
        <color rgb="FF000000"/>
      </left>
      <bottom style="thin">
        <color rgb="FF000000"/>
      </bottom>
    </border>
    <border>
      <right style="medium">
        <color rgb="FF000000"/>
      </right>
      <bottom style="thin">
        <color rgb="FF000000"/>
      </bottom>
    </border>
    <border>
      <left style="thick">
        <color rgb="FF000000"/>
      </left>
      <top style="thick">
        <color rgb="FF000000"/>
      </top>
    </border>
    <border>
      <top style="thick">
        <color rgb="FF000000"/>
      </top>
      <bottom style="medium">
        <color rgb="FF000000"/>
      </bottom>
    </border>
    <border>
      <right style="thin">
        <color rgb="FFEFEFEF"/>
      </right>
      <top style="thick">
        <color rgb="FF000000"/>
      </top>
      <bottom style="medium">
        <color rgb="FF000000"/>
      </bottom>
    </border>
    <border>
      <left style="thin">
        <color rgb="FFEFEFEF"/>
      </left>
      <top style="thick">
        <color rgb="FF000000"/>
      </top>
      <bottom style="medium">
        <color rgb="FF000000"/>
      </bottom>
    </border>
    <border>
      <left style="medium">
        <color rgb="FF000000"/>
      </left>
      <top style="thick">
        <color rgb="FF000000"/>
      </top>
    </border>
    <border>
      <top style="thick">
        <color rgb="FF000000"/>
      </top>
      <bottom style="dotted">
        <color rgb="FF000000"/>
      </bottom>
    </border>
    <border>
      <top style="thick">
        <color rgb="FF000000"/>
      </top>
      <bottom style="hair">
        <color rgb="FF000000"/>
      </bottom>
    </border>
    <border>
      <right style="hair">
        <color rgb="FF000000"/>
      </right>
      <top style="thick">
        <color rgb="FF000000"/>
      </top>
      <bottom style="hair">
        <color rgb="FF000000"/>
      </bottom>
    </border>
    <border>
      <right style="thick">
        <color rgb="FF000000"/>
      </right>
      <top style="thick">
        <color rgb="FF000000"/>
      </top>
      <bottom style="hair">
        <color rgb="FF000000"/>
      </bottom>
    </border>
    <border>
      <left style="thick">
        <color rgb="FF000000"/>
      </left>
      <bottom style="thin">
        <color rgb="FF000000"/>
      </bottom>
    </border>
    <border>
      <top style="medium">
        <color rgb="FF000000"/>
      </top>
      <bottom style="medium">
        <color rgb="FF000000"/>
      </bottom>
    </border>
    <border>
      <right style="thin">
        <color rgb="FFEFEFEF"/>
      </right>
      <top style="medium">
        <color rgb="FF000000"/>
      </top>
      <bottom style="medium">
        <color rgb="FF000000"/>
      </bottom>
    </border>
    <border>
      <left style="thin">
        <color rgb="FFEFEFEF"/>
      </left>
      <top style="medium">
        <color rgb="FF000000"/>
      </top>
      <bottom style="medium">
        <color rgb="FF000000"/>
      </bottom>
    </border>
    <border>
      <left style="medium">
        <color rgb="FF000000"/>
      </left>
    </border>
    <border>
      <top style="dotted">
        <color rgb="FF000000"/>
      </top>
    </border>
    <border>
      <top style="hair">
        <color rgb="FF000000"/>
      </top>
      <bottom style="hair">
        <color rgb="FF000000"/>
      </bottom>
    </border>
    <border>
      <right style="hair">
        <color rgb="FF000000"/>
      </right>
      <top style="hair">
        <color rgb="FF000000"/>
      </top>
      <bottom style="hair">
        <color rgb="FF000000"/>
      </bottom>
    </border>
    <border>
      <right style="thick">
        <color rgb="FF000000"/>
      </right>
      <top style="hair">
        <color rgb="FF000000"/>
      </top>
      <bottom style="hair">
        <color rgb="FF000000"/>
      </bottom>
    </border>
    <border>
      <top style="medium">
        <color rgb="FF000000"/>
      </top>
      <bottom style="thick">
        <color rgb="FF000000"/>
      </bottom>
    </border>
    <border>
      <right style="medium">
        <color rgb="FF000000"/>
      </right>
      <top style="medium">
        <color rgb="FF000000"/>
      </top>
      <bottom style="thick">
        <color rgb="FF000000"/>
      </bottom>
    </border>
    <border>
      <right style="medium">
        <color rgb="FF000000"/>
      </right>
      <bottom style="thick">
        <color rgb="FF000000"/>
      </bottom>
    </border>
    <border>
      <top style="hair">
        <color rgb="FF000000"/>
      </top>
      <bottom style="thick">
        <color rgb="FF000000"/>
      </bottom>
    </border>
    <border>
      <right style="hair">
        <color rgb="FF000000"/>
      </right>
      <top style="hair">
        <color rgb="FF000000"/>
      </top>
      <bottom style="thick">
        <color rgb="FF000000"/>
      </bottom>
    </border>
    <border>
      <right style="thick">
        <color rgb="FF000000"/>
      </right>
      <top style="hair">
        <color rgb="FF000000"/>
      </top>
      <bottom style="thick">
        <color rgb="FF000000"/>
      </bottom>
    </border>
    <border>
      <left style="thin">
        <color rgb="FFFFFFFF"/>
      </left>
      <right style="thin">
        <color rgb="FFFFFFFF"/>
      </right>
    </border>
    <border>
      <left style="thin">
        <color rgb="FFFFFFFF"/>
      </left>
      <right style="hair">
        <color rgb="FFFFFFFF"/>
      </right>
      <top style="thin">
        <color rgb="FFFFFFFF"/>
      </top>
    </border>
    <border>
      <right style="hair">
        <color rgb="FFFFFFFF"/>
      </right>
      <top style="thin">
        <color rgb="FFFFFFFF"/>
      </top>
      <bottom style="thin">
        <color rgb="FFFFFFFF"/>
      </bottom>
    </border>
    <border>
      <left style="hair">
        <color rgb="FFFFFFFF"/>
      </left>
      <right style="hair">
        <color rgb="FFFFFFFF"/>
      </right>
      <bottom style="thin">
        <color rgb="FFFFFFFF"/>
      </bottom>
    </border>
    <border>
      <left style="hair">
        <color rgb="FFFFFFFF"/>
      </left>
      <top style="hair">
        <color rgb="FFFFFFFF"/>
      </top>
    </border>
  </borders>
  <cellStyleXfs count="1">
    <xf borderId="0" fillId="0" fontId="0" numFmtId="0" applyAlignment="1" applyFont="1"/>
  </cellStyleXfs>
  <cellXfs count="56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0"/>
    </xf>
    <xf borderId="1" fillId="2" fontId="2" numFmtId="0" xfId="0" applyAlignment="1" applyBorder="1" applyFill="1" applyFont="1">
      <alignment horizontal="center" readingOrder="0" shrinkToFit="0" vertical="center" wrapText="0"/>
    </xf>
    <xf borderId="1" fillId="2" fontId="1" numFmtId="0" xfId="0" applyAlignment="1" applyBorder="1" applyFill="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1" fillId="0" fontId="3" numFmtId="0" xfId="0" applyAlignment="1" applyBorder="1" applyFont="1">
      <alignment horizontal="center" readingOrder="0" vertical="center"/>
    </xf>
    <xf borderId="1" fillId="0" fontId="4" numFmtId="0" xfId="0" applyAlignment="1" applyBorder="1" applyFont="1">
      <alignment horizontal="center" readingOrder="0" vertical="center"/>
    </xf>
    <xf borderId="1" fillId="0" fontId="5"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7" numFmtId="0" xfId="0" applyAlignment="1" applyBorder="1" applyFont="1">
      <alignment horizontal="left" readingOrder="0" vertical="center"/>
    </xf>
    <xf borderId="1" fillId="0" fontId="8" numFmtId="0" xfId="0" applyAlignment="1" applyBorder="1" applyFont="1">
      <alignment horizontal="center" readingOrder="0" vertical="center"/>
    </xf>
    <xf borderId="1" fillId="0" fontId="9" numFmtId="0" xfId="0" applyAlignment="1" applyBorder="1" applyFont="1">
      <alignment horizontal="center" readingOrder="0" vertical="center"/>
    </xf>
    <xf borderId="1" fillId="0" fontId="10" numFmtId="0" xfId="0" applyAlignment="1" applyBorder="1" applyFont="1">
      <alignment horizontal="center" readingOrder="0" shrinkToFit="0" vertical="center" wrapText="1"/>
    </xf>
    <xf borderId="1" fillId="0" fontId="11" numFmtId="0" xfId="0" applyAlignment="1" applyBorder="1" applyFont="1">
      <alignment horizontal="center" readingOrder="0"/>
    </xf>
    <xf borderId="1" fillId="0" fontId="11"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 fillId="0" fontId="13" numFmtId="0" xfId="0" applyAlignment="1" applyBorder="1" applyFont="1">
      <alignment horizontal="center" readingOrder="0" shrinkToFit="0" vertical="center" wrapText="1"/>
    </xf>
    <xf borderId="1" fillId="0" fontId="14" numFmtId="0" xfId="0" applyAlignment="1" applyBorder="1" applyFont="1">
      <alignment horizontal="center" readingOrder="0" vertical="center"/>
    </xf>
    <xf borderId="1" fillId="0" fontId="3" numFmtId="0" xfId="0" applyAlignment="1" applyBorder="1" applyFont="1">
      <alignment shrinkToFit="0" vertical="center" wrapText="1"/>
    </xf>
    <xf borderId="1" fillId="0" fontId="13" numFmtId="0" xfId="0" applyAlignment="1" applyBorder="1" applyFont="1">
      <alignment horizontal="center" readingOrder="0"/>
    </xf>
    <xf borderId="1" fillId="0" fontId="15" numFmtId="0" xfId="0" applyAlignment="1" applyBorder="1" applyFont="1">
      <alignment horizontal="center" readingOrder="0" shrinkToFit="0" vertical="center" wrapText="1"/>
    </xf>
    <xf borderId="0" fillId="0" fontId="6" numFmtId="0" xfId="0" applyAlignment="1" applyFont="1">
      <alignment readingOrder="0" shrinkToFit="0" vertical="center" wrapText="1"/>
    </xf>
    <xf borderId="0" fillId="0" fontId="13" numFmtId="0" xfId="0" applyAlignment="1" applyFont="1">
      <alignment readingOrder="0"/>
    </xf>
    <xf borderId="1" fillId="0" fontId="11" numFmtId="0" xfId="0" applyAlignment="1" applyBorder="1" applyFont="1">
      <alignment readingOrder="0"/>
    </xf>
    <xf borderId="0" fillId="0" fontId="12"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0" fillId="0" fontId="11" numFmtId="0" xfId="0" applyAlignment="1" applyFont="1">
      <alignment readingOrder="0" vertical="bottom"/>
    </xf>
    <xf borderId="0" fillId="0" fontId="13" numFmtId="0" xfId="0" applyAlignment="1" applyFont="1">
      <alignment readingOrder="0" vertical="bottom"/>
    </xf>
    <xf borderId="0" fillId="0" fontId="3" numFmtId="0" xfId="0" applyFont="1"/>
    <xf borderId="2" fillId="0" fontId="6" numFmtId="0" xfId="0" applyAlignment="1" applyBorder="1" applyFont="1">
      <alignment readingOrder="0" shrinkToFit="0" vertical="center" wrapText="1"/>
    </xf>
    <xf borderId="2" fillId="0" fontId="6" numFmtId="0" xfId="0" applyAlignment="1" applyBorder="1" applyFont="1">
      <alignment shrinkToFit="0" vertical="center" wrapText="1"/>
    </xf>
    <xf borderId="0" fillId="0" fontId="6" numFmtId="0" xfId="0" applyAlignment="1" applyFont="1">
      <alignment shrinkToFit="0" vertical="center" wrapText="1"/>
    </xf>
    <xf borderId="3" fillId="0" fontId="3" numFmtId="0" xfId="0" applyAlignment="1" applyBorder="1" applyFont="1">
      <alignment horizontal="center" vertical="center"/>
    </xf>
    <xf borderId="4" fillId="0" fontId="3" numFmtId="0" xfId="0" applyAlignment="1" applyBorder="1" applyFont="1">
      <alignment horizontal="center" vertical="center"/>
    </xf>
    <xf borderId="4" fillId="0" fontId="3" numFmtId="0" xfId="0" applyAlignment="1" applyBorder="1" applyFont="1">
      <alignment horizontal="center" readingOrder="0" textRotation="0" vertical="center"/>
    </xf>
    <xf borderId="4" fillId="0" fontId="3" numFmtId="0" xfId="0" applyAlignment="1" applyBorder="1" applyFont="1">
      <alignment horizontal="center" textRotation="0" vertical="center"/>
    </xf>
    <xf borderId="4" fillId="0" fontId="3" numFmtId="0" xfId="0" applyAlignment="1" applyBorder="1" applyFont="1">
      <alignment horizontal="center" shrinkToFit="0" vertical="center" wrapText="1"/>
    </xf>
    <xf borderId="5" fillId="0" fontId="3" numFmtId="0" xfId="0" applyAlignment="1" applyBorder="1" applyFont="1">
      <alignment horizontal="center" vertical="center"/>
    </xf>
    <xf borderId="6" fillId="0" fontId="3" numFmtId="0" xfId="0" applyAlignment="1" applyBorder="1" applyFont="1">
      <alignment horizontal="center" vertical="center"/>
    </xf>
    <xf borderId="7" fillId="0" fontId="3" numFmtId="0" xfId="0" applyAlignment="1" applyBorder="1" applyFont="1">
      <alignment horizontal="center" vertical="center"/>
    </xf>
    <xf borderId="0" fillId="0" fontId="3" numFmtId="0" xfId="0" applyAlignment="1" applyFont="1">
      <alignment horizontal="center" vertical="center"/>
    </xf>
    <xf borderId="8" fillId="0" fontId="3" numFmtId="0" xfId="0" applyAlignment="1" applyBorder="1" applyFont="1">
      <alignment horizontal="center" vertical="center"/>
    </xf>
    <xf borderId="9" fillId="3" fontId="16" numFmtId="0" xfId="0" applyAlignment="1" applyBorder="1" applyFill="1" applyFont="1">
      <alignment horizontal="center" readingOrder="0" vertical="center"/>
    </xf>
    <xf borderId="10" fillId="0" fontId="17" numFmtId="0" xfId="0" applyBorder="1" applyFont="1"/>
    <xf borderId="11" fillId="0" fontId="17" numFmtId="0" xfId="0" applyBorder="1" applyFont="1"/>
    <xf borderId="12" fillId="0" fontId="6" numFmtId="0" xfId="0" applyAlignment="1" applyBorder="1" applyFont="1">
      <alignment horizontal="center" vertical="center"/>
    </xf>
    <xf borderId="13" fillId="0" fontId="17" numFmtId="0" xfId="0" applyBorder="1" applyFont="1"/>
    <xf borderId="14" fillId="0" fontId="17" numFmtId="0" xfId="0" applyBorder="1" applyFont="1"/>
    <xf borderId="9" fillId="4" fontId="18" numFmtId="0" xfId="0" applyAlignment="1" applyBorder="1" applyFill="1" applyFont="1">
      <alignment horizontal="center" readingOrder="0" vertical="center"/>
    </xf>
    <xf borderId="12" fillId="5" fontId="6" numFmtId="0" xfId="0" applyAlignment="1" applyBorder="1" applyFill="1" applyFont="1">
      <alignment horizontal="center" vertical="center"/>
    </xf>
    <xf borderId="15" fillId="0" fontId="3" numFmtId="0" xfId="0" applyAlignment="1" applyBorder="1" applyFont="1">
      <alignment horizontal="center" vertical="center"/>
    </xf>
    <xf borderId="9" fillId="6" fontId="19" numFmtId="0" xfId="0" applyAlignment="1" applyBorder="1" applyFill="1" applyFont="1">
      <alignment horizontal="center" shrinkToFit="0" vertical="center" wrapText="0"/>
    </xf>
    <xf borderId="9" fillId="4" fontId="18" numFmtId="0" xfId="0" applyAlignment="1" applyBorder="1" applyFill="1" applyFont="1">
      <alignment horizontal="center" readingOrder="0" shrinkToFit="0" vertical="center" wrapText="0"/>
    </xf>
    <xf borderId="16" fillId="0" fontId="3" numFmtId="0" xfId="0" applyAlignment="1" applyBorder="1" applyFont="1">
      <alignment horizontal="center" readingOrder="0" vertical="center"/>
    </xf>
    <xf borderId="17" fillId="0" fontId="17" numFmtId="0" xfId="0" applyBorder="1" applyFont="1"/>
    <xf borderId="18" fillId="0" fontId="17" numFmtId="0" xfId="0" applyBorder="1" applyFont="1"/>
    <xf borderId="19" fillId="0" fontId="17" numFmtId="0" xfId="0" applyBorder="1" applyFont="1"/>
    <xf borderId="20" fillId="0" fontId="17" numFmtId="0" xfId="0" applyBorder="1" applyFont="1"/>
    <xf borderId="12" fillId="4" fontId="18" numFmtId="0" xfId="0" applyAlignment="1" applyBorder="1" applyFill="1" applyFont="1">
      <alignment horizontal="center" readingOrder="0" vertical="center"/>
    </xf>
    <xf borderId="12" fillId="4" fontId="18" numFmtId="0" xfId="0" applyAlignment="1" applyBorder="1" applyFill="1" applyFont="1">
      <alignment horizontal="center" vertical="center"/>
    </xf>
    <xf borderId="12" fillId="0" fontId="1" numFmtId="0" xfId="0" applyAlignment="1" applyBorder="1" applyFont="1">
      <alignment horizontal="center" vertical="center"/>
    </xf>
    <xf borderId="12" fillId="7" fontId="18" numFmtId="0" xfId="0" applyAlignment="1" applyBorder="1" applyFill="1" applyFont="1">
      <alignment horizontal="center" readingOrder="0" vertical="center"/>
    </xf>
    <xf borderId="12" fillId="8" fontId="20" numFmtId="0" xfId="0" applyAlignment="1" applyBorder="1" applyFill="1" applyFont="1">
      <alignment horizontal="center" vertical="center"/>
    </xf>
    <xf borderId="12" fillId="7" fontId="18" numFmtId="0" xfId="0" applyAlignment="1" applyBorder="1" applyFill="1" applyFont="1">
      <alignment horizontal="center" vertical="center"/>
    </xf>
    <xf borderId="12" fillId="0" fontId="21" numFmtId="0" xfId="0" applyAlignment="1" applyBorder="1" applyFont="1">
      <alignment horizontal="center" readingOrder="0" vertical="center"/>
    </xf>
    <xf borderId="12" fillId="0" fontId="21" numFmtId="0" xfId="0" applyAlignment="1" applyBorder="1" applyFont="1">
      <alignment horizontal="center" vertical="center"/>
    </xf>
    <xf borderId="12" fillId="0" fontId="6" numFmtId="0" xfId="0" applyAlignment="1" applyBorder="1" applyFont="1">
      <alignment horizontal="center" readingOrder="0" shrinkToFit="0" vertical="center" wrapText="0"/>
    </xf>
    <xf borderId="16" fillId="0" fontId="17" numFmtId="0" xfId="0" applyBorder="1" applyFont="1"/>
    <xf borderId="9" fillId="0" fontId="6" numFmtId="0" xfId="0" applyAlignment="1" applyBorder="1" applyFont="1">
      <alignment horizontal="center" readingOrder="0" vertical="center"/>
    </xf>
    <xf borderId="12" fillId="9" fontId="1" numFmtId="3" xfId="0" applyAlignment="1" applyBorder="1" applyFill="1" applyFont="1" applyNumberFormat="1">
      <alignment horizontal="center" vertical="center"/>
    </xf>
    <xf borderId="12" fillId="0" fontId="3" numFmtId="0" xfId="0" applyAlignment="1" applyBorder="1" applyFont="1">
      <alignment horizontal="center" vertical="center"/>
    </xf>
    <xf borderId="21" fillId="0" fontId="17" numFmtId="0" xfId="0" applyBorder="1" applyFont="1"/>
    <xf borderId="10" fillId="4" fontId="18" numFmtId="0" xfId="0" applyAlignment="1" applyBorder="1" applyFill="1" applyFont="1">
      <alignment horizontal="center" readingOrder="0" vertical="center"/>
    </xf>
    <xf borderId="12" fillId="0" fontId="1" numFmtId="0" xfId="0" applyAlignment="1" applyBorder="1" applyFont="1">
      <alignment horizontal="center" readingOrder="0" shrinkToFit="0" vertical="center" wrapText="1"/>
    </xf>
    <xf borderId="9" fillId="0" fontId="22" numFmtId="0" xfId="0" applyAlignment="1" applyBorder="1" applyFont="1">
      <alignment horizontal="center" readingOrder="0" shrinkToFit="0" vertical="center" wrapText="0"/>
    </xf>
    <xf borderId="12" fillId="8" fontId="23" numFmtId="0" xfId="0" applyAlignment="1" applyBorder="1" applyFill="1" applyFont="1">
      <alignment horizontal="center" readingOrder="0" shrinkToFit="0" vertical="top" wrapText="1"/>
    </xf>
    <xf borderId="9" fillId="0" fontId="24" numFmtId="0" xfId="0" applyAlignment="1" applyBorder="1" applyFont="1">
      <alignment horizontal="center" readingOrder="0" shrinkToFit="0" vertical="center" wrapText="1"/>
    </xf>
    <xf borderId="12" fillId="8" fontId="25" numFmtId="0" xfId="0" applyAlignment="1" applyBorder="1" applyFill="1" applyFont="1">
      <alignment horizontal="center" shrinkToFit="0" vertical="top" wrapText="1"/>
    </xf>
    <xf borderId="9" fillId="7" fontId="16" numFmtId="0" xfId="0" applyAlignment="1" applyBorder="1" applyFill="1" applyFont="1">
      <alignment horizontal="center" readingOrder="0" vertical="center"/>
    </xf>
    <xf borderId="9" fillId="7" fontId="26" numFmtId="0" xfId="0" applyAlignment="1" applyBorder="1" applyFill="1" applyFont="1">
      <alignment horizontal="center" readingOrder="0" vertical="center"/>
    </xf>
    <xf borderId="9" fillId="7" fontId="16" numFmtId="0" xfId="0" applyAlignment="1" applyBorder="1" applyFill="1" applyFont="1">
      <alignment horizontal="center" vertical="center"/>
    </xf>
    <xf borderId="22" fillId="0" fontId="17" numFmtId="0" xfId="0" applyBorder="1" applyFont="1"/>
    <xf borderId="10" fillId="7" fontId="27" numFmtId="0" xfId="0" applyAlignment="1" applyBorder="1" applyFill="1" applyFont="1">
      <alignment horizontal="center" vertical="center"/>
    </xf>
    <xf borderId="9" fillId="7" fontId="27" numFmtId="0" xfId="0" applyAlignment="1" applyBorder="1" applyFill="1" applyFont="1">
      <alignment horizontal="center" readingOrder="0" vertical="center"/>
    </xf>
    <xf borderId="9" fillId="7" fontId="27" numFmtId="0" xfId="0" applyAlignment="1" applyBorder="1" applyFill="1" applyFont="1">
      <alignment horizontal="center" vertical="center"/>
    </xf>
    <xf borderId="9" fillId="0" fontId="19" numFmtId="0" xfId="0" applyAlignment="1" applyBorder="1" applyFont="1">
      <alignment horizontal="center" readingOrder="0" shrinkToFit="0" vertical="center" wrapText="0"/>
    </xf>
    <xf borderId="12" fillId="10" fontId="1" numFmtId="3" xfId="0" applyAlignment="1" applyBorder="1" applyFill="1" applyFont="1" applyNumberFormat="1">
      <alignment horizontal="center" readingOrder="0" vertical="center"/>
    </xf>
    <xf borderId="9" fillId="0" fontId="3" numFmtId="0" xfId="0" applyAlignment="1" applyBorder="1" applyFont="1">
      <alignment horizontal="center" readingOrder="0" vertical="center"/>
    </xf>
    <xf borderId="9" fillId="0" fontId="3" numFmtId="0" xfId="0" applyAlignment="1" applyBorder="1" applyFont="1">
      <alignment horizontal="center" vertical="center"/>
    </xf>
    <xf borderId="10" fillId="0" fontId="28" numFmtId="0" xfId="0" applyAlignment="1" applyBorder="1" applyFont="1">
      <alignment horizontal="center" readingOrder="0" vertical="center"/>
    </xf>
    <xf borderId="9" fillId="0" fontId="28" numFmtId="0" xfId="0" applyAlignment="1" applyBorder="1" applyFont="1">
      <alignment horizontal="center" readingOrder="0" vertical="center"/>
    </xf>
    <xf borderId="9" fillId="0" fontId="29" numFmtId="0" xfId="0" applyAlignment="1" applyBorder="1" applyFont="1">
      <alignment horizontal="center" readingOrder="0" vertical="center"/>
    </xf>
    <xf borderId="9" fillId="6" fontId="28" numFmtId="0" xfId="0" applyAlignment="1" applyBorder="1" applyFill="1" applyFont="1">
      <alignment horizontal="center" vertical="center"/>
    </xf>
    <xf borderId="9" fillId="0" fontId="23" numFmtId="0" xfId="0" applyAlignment="1" applyBorder="1" applyFont="1">
      <alignment horizontal="center" readingOrder="0" vertical="center"/>
    </xf>
    <xf borderId="10" fillId="0" fontId="28" numFmtId="164" xfId="0" applyAlignment="1" applyBorder="1" applyFont="1" applyNumberFormat="1">
      <alignment horizontal="center" vertical="center"/>
    </xf>
    <xf borderId="9" fillId="0" fontId="28" numFmtId="164" xfId="0" applyAlignment="1" applyBorder="1" applyFont="1" applyNumberFormat="1">
      <alignment horizontal="center" vertical="center"/>
    </xf>
    <xf borderId="19" fillId="0" fontId="3" numFmtId="0" xfId="0" applyAlignment="1" applyBorder="1" applyFont="1">
      <alignment horizontal="center" readingOrder="0" shrinkToFit="0" vertical="center" wrapText="1"/>
    </xf>
    <xf borderId="12" fillId="11" fontId="1" numFmtId="3" xfId="0" applyAlignment="1" applyBorder="1" applyFill="1" applyFont="1" applyNumberFormat="1">
      <alignment horizontal="center" readingOrder="0" vertical="center"/>
    </xf>
    <xf borderId="9" fillId="0" fontId="29" numFmtId="0" xfId="0" applyAlignment="1" applyBorder="1" applyFont="1">
      <alignment horizontal="center" vertical="center"/>
    </xf>
    <xf borderId="19" fillId="0" fontId="3" numFmtId="0" xfId="0" applyAlignment="1" applyBorder="1" applyFont="1">
      <alignment horizontal="center" vertical="center"/>
    </xf>
    <xf borderId="12" fillId="12" fontId="1" numFmtId="3" xfId="0" applyAlignment="1" applyBorder="1" applyFill="1" applyFont="1" applyNumberFormat="1">
      <alignment horizontal="center" readingOrder="0" vertical="center"/>
    </xf>
    <xf borderId="19" fillId="0" fontId="3" numFmtId="0" xfId="0" applyAlignment="1" applyBorder="1" applyFont="1">
      <alignment horizontal="center" readingOrder="0" vertical="center"/>
    </xf>
    <xf borderId="12" fillId="13" fontId="1" numFmtId="3" xfId="0" applyAlignment="1" applyBorder="1" applyFill="1" applyFont="1" applyNumberFormat="1">
      <alignment horizontal="center" readingOrder="0" vertical="center"/>
    </xf>
    <xf borderId="23" fillId="0" fontId="3" numFmtId="0" xfId="0" applyAlignment="1" applyBorder="1" applyFont="1">
      <alignment horizontal="center" vertical="center"/>
    </xf>
    <xf borderId="24" fillId="0" fontId="3" numFmtId="0" xfId="0" applyAlignment="1" applyBorder="1" applyFont="1">
      <alignment horizontal="center" shrinkToFit="0" vertical="center" wrapText="1"/>
    </xf>
    <xf borderId="0" fillId="14" fontId="3" numFmtId="0" xfId="0" applyAlignment="1" applyFill="1" applyFont="1">
      <alignment horizontal="center" shrinkToFit="0" vertical="center" wrapText="1"/>
    </xf>
    <xf borderId="25" fillId="0" fontId="3" numFmtId="0" xfId="0" applyAlignment="1" applyBorder="1" applyFont="1">
      <alignment horizontal="center" vertical="center"/>
    </xf>
    <xf borderId="9" fillId="3" fontId="18" numFmtId="0" xfId="0" applyAlignment="1" applyBorder="1" applyFill="1" applyFont="1">
      <alignment horizontal="center" readingOrder="0" shrinkToFit="0" vertical="center" wrapText="1"/>
    </xf>
    <xf borderId="9" fillId="3" fontId="18" numFmtId="0" xfId="0" applyAlignment="1" applyBorder="1" applyFill="1" applyFont="1">
      <alignment horizontal="center" vertical="center"/>
    </xf>
    <xf borderId="9" fillId="4" fontId="18" numFmtId="0" xfId="0" applyAlignment="1" applyBorder="1" applyFill="1" applyFont="1">
      <alignment horizontal="center" readingOrder="0" vertical="center"/>
    </xf>
    <xf borderId="9" fillId="15" fontId="18" numFmtId="0" xfId="0" applyAlignment="1" applyBorder="1" applyFill="1" applyFont="1">
      <alignment horizontal="center" readingOrder="0" shrinkToFit="0" vertical="center" wrapText="1"/>
    </xf>
    <xf borderId="9" fillId="3" fontId="18" numFmtId="0" xfId="0" applyAlignment="1" applyBorder="1" applyFill="1" applyFont="1">
      <alignment horizontal="center" readingOrder="0" textRotation="0" vertical="center"/>
    </xf>
    <xf borderId="9" fillId="3" fontId="18" numFmtId="0" xfId="0" applyAlignment="1" applyBorder="1" applyFill="1" applyFont="1">
      <alignment horizontal="center" readingOrder="0" vertical="center"/>
    </xf>
    <xf borderId="12" fillId="0" fontId="30" numFmtId="0" xfId="0" applyAlignment="1" applyBorder="1" applyFont="1">
      <alignment horizontal="center" readingOrder="0" shrinkToFit="0" vertical="center" wrapText="1"/>
    </xf>
    <xf borderId="12" fillId="0" fontId="31" numFmtId="0" xfId="0" applyAlignment="1" applyBorder="1" applyFont="1">
      <alignment horizontal="center" readingOrder="0" shrinkToFit="0" vertical="center" wrapText="1"/>
    </xf>
    <xf borderId="26" fillId="7" fontId="18" numFmtId="0" xfId="0" applyAlignment="1" applyBorder="1" applyFill="1" applyFont="1">
      <alignment horizontal="center" textRotation="255" vertical="center"/>
    </xf>
    <xf borderId="9" fillId="15" fontId="18" numFmtId="0" xfId="0" applyAlignment="1" applyBorder="1" applyFill="1" applyFont="1">
      <alignment horizontal="center" vertical="center"/>
    </xf>
    <xf borderId="9" fillId="8" fontId="6" numFmtId="0" xfId="0" applyAlignment="1" applyBorder="1" applyFill="1" applyFont="1">
      <alignment horizontal="center" readingOrder="0" textRotation="0" vertical="center"/>
    </xf>
    <xf borderId="9" fillId="16" fontId="6" numFmtId="0" xfId="0" applyAlignment="1" applyBorder="1" applyFill="1" applyFont="1">
      <alignment horizontal="center" readingOrder="0" textRotation="0" vertical="center"/>
    </xf>
    <xf borderId="9" fillId="17" fontId="6" numFmtId="0" xfId="0" applyAlignment="1" applyBorder="1" applyFill="1" applyFont="1">
      <alignment horizontal="center" readingOrder="0" textRotation="0" vertical="center"/>
    </xf>
    <xf borderId="9" fillId="17" fontId="6" numFmtId="0" xfId="0" applyAlignment="1" applyBorder="1" applyFill="1" applyFont="1">
      <alignment horizontal="center" textRotation="0" vertical="center"/>
    </xf>
    <xf borderId="9" fillId="0" fontId="6" numFmtId="0" xfId="0" applyAlignment="1" applyBorder="1" applyFont="1">
      <alignment horizontal="center" textRotation="0" vertical="center"/>
    </xf>
    <xf borderId="9" fillId="18" fontId="6" numFmtId="0" xfId="0" applyAlignment="1" applyBorder="1" applyFill="1" applyFont="1">
      <alignment horizontal="center" textRotation="0" vertical="center"/>
    </xf>
    <xf borderId="9" fillId="8" fontId="6" numFmtId="0" xfId="0" applyAlignment="1" applyBorder="1" applyFill="1" applyFont="1">
      <alignment horizontal="center" textRotation="0" vertical="center"/>
    </xf>
    <xf borderId="9" fillId="6" fontId="3" numFmtId="0" xfId="0" applyAlignment="1" applyBorder="1" applyFill="1" applyFont="1">
      <alignment horizontal="center" vertical="center"/>
    </xf>
    <xf borderId="0" fillId="0" fontId="6" numFmtId="0" xfId="0" applyAlignment="1" applyFont="1">
      <alignment horizontal="center" vertical="center"/>
    </xf>
    <xf borderId="27" fillId="0" fontId="17" numFmtId="0" xfId="0" applyBorder="1" applyFont="1"/>
    <xf borderId="9" fillId="0" fontId="6" numFmtId="0" xfId="0" applyAlignment="1" applyBorder="1" applyFont="1">
      <alignment horizontal="center" readingOrder="0" textRotation="0" vertical="center"/>
    </xf>
    <xf borderId="12" fillId="0" fontId="31" numFmtId="0" xfId="0" applyAlignment="1" applyBorder="1" applyFont="1">
      <alignment horizontal="center" readingOrder="0" shrinkToFit="0" vertical="center" wrapText="1"/>
    </xf>
    <xf borderId="28" fillId="0" fontId="17" numFmtId="0" xfId="0" applyBorder="1" applyFont="1"/>
    <xf borderId="12" fillId="15" fontId="18" numFmtId="0" xfId="0" applyAlignment="1" applyBorder="1" applyFill="1" applyFont="1">
      <alignment horizontal="center" vertical="center"/>
    </xf>
    <xf borderId="12" fillId="8" fontId="6" numFmtId="0" xfId="0" applyAlignment="1" applyBorder="1" applyFill="1" applyFont="1">
      <alignment horizontal="center" readingOrder="0" textRotation="0" vertical="center"/>
    </xf>
    <xf borderId="12" fillId="16" fontId="6" numFmtId="0" xfId="0" applyAlignment="1" applyBorder="1" applyFill="1" applyFont="1">
      <alignment horizontal="center" readingOrder="0" textRotation="0" vertical="center"/>
    </xf>
    <xf borderId="12" fillId="17" fontId="6" numFmtId="0" xfId="0" applyAlignment="1" applyBorder="1" applyFill="1" applyFont="1">
      <alignment horizontal="center" readingOrder="0" textRotation="0" vertical="center"/>
    </xf>
    <xf borderId="12" fillId="17" fontId="6" numFmtId="0" xfId="0" applyAlignment="1" applyBorder="1" applyFill="1" applyFont="1">
      <alignment horizontal="center" textRotation="0" vertical="center"/>
    </xf>
    <xf borderId="12" fillId="0" fontId="6" numFmtId="0" xfId="0" applyAlignment="1" applyBorder="1" applyFont="1">
      <alignment horizontal="center" readingOrder="0" textRotation="0" vertical="center"/>
    </xf>
    <xf borderId="12" fillId="18" fontId="6" numFmtId="0" xfId="0" applyAlignment="1" applyBorder="1" applyFill="1" applyFont="1">
      <alignment horizontal="center" textRotation="0" vertical="center"/>
    </xf>
    <xf borderId="12" fillId="8" fontId="6" numFmtId="0" xfId="0" applyAlignment="1" applyBorder="1" applyFill="1" applyFont="1">
      <alignment horizontal="center" textRotation="0" vertical="center"/>
    </xf>
    <xf borderId="12" fillId="0" fontId="32" numFmtId="0" xfId="0" applyAlignment="1" applyBorder="1" applyFont="1">
      <alignment horizontal="center" readingOrder="0" shrinkToFit="0" vertical="center" wrapText="1"/>
    </xf>
    <xf borderId="29" fillId="7" fontId="18" numFmtId="0" xfId="0" applyAlignment="1" applyBorder="1" applyFill="1" applyFont="1">
      <alignment horizontal="center" textRotation="255" vertical="center"/>
    </xf>
    <xf borderId="30" fillId="15" fontId="18" numFmtId="0" xfId="0" applyAlignment="1" applyBorder="1" applyFill="1" applyFont="1">
      <alignment horizontal="center" vertical="center"/>
    </xf>
    <xf borderId="31" fillId="0" fontId="17" numFmtId="0" xfId="0" applyBorder="1" applyFont="1"/>
    <xf borderId="32" fillId="0" fontId="17" numFmtId="0" xfId="0" applyBorder="1" applyFont="1"/>
    <xf borderId="30" fillId="8" fontId="6" numFmtId="0" xfId="0" applyAlignment="1" applyBorder="1" applyFill="1" applyFont="1">
      <alignment horizontal="center" readingOrder="0" textRotation="0" vertical="center"/>
    </xf>
    <xf borderId="30" fillId="16" fontId="6" numFmtId="0" xfId="0" applyAlignment="1" applyBorder="1" applyFill="1" applyFont="1">
      <alignment horizontal="center" textRotation="0" vertical="center"/>
    </xf>
    <xf borderId="30" fillId="17" fontId="6" numFmtId="0" xfId="0" applyAlignment="1" applyBorder="1" applyFill="1" applyFont="1">
      <alignment horizontal="center" readingOrder="0" textRotation="0" vertical="center"/>
    </xf>
    <xf borderId="30" fillId="17" fontId="6" numFmtId="0" xfId="0" applyAlignment="1" applyBorder="1" applyFill="1" applyFont="1">
      <alignment horizontal="center" textRotation="0" vertical="center"/>
    </xf>
    <xf borderId="30" fillId="0" fontId="6" numFmtId="0" xfId="0" applyAlignment="1" applyBorder="1" applyFont="1">
      <alignment horizontal="center" textRotation="0" vertical="center"/>
    </xf>
    <xf borderId="30" fillId="18" fontId="6" numFmtId="0" xfId="0" applyAlignment="1" applyBorder="1" applyFill="1" applyFont="1">
      <alignment horizontal="center" textRotation="0" vertical="center"/>
    </xf>
    <xf borderId="30" fillId="8" fontId="6" numFmtId="0" xfId="0" applyAlignment="1" applyBorder="1" applyFill="1" applyFont="1">
      <alignment horizontal="center" textRotation="0" vertical="center"/>
    </xf>
    <xf borderId="30" fillId="0" fontId="6" numFmtId="0" xfId="0" applyAlignment="1" applyBorder="1" applyFont="1">
      <alignment horizontal="center" readingOrder="0" vertical="center"/>
    </xf>
    <xf borderId="12" fillId="0" fontId="23" numFmtId="0" xfId="0" applyAlignment="1" applyBorder="1" applyFont="1">
      <alignment horizontal="center" readingOrder="0" shrinkToFit="0" vertical="center" wrapText="1"/>
    </xf>
    <xf borderId="9" fillId="0" fontId="6" numFmtId="0" xfId="0" applyAlignment="1" applyBorder="1" applyFont="1">
      <alignment horizontal="center" vertical="center"/>
    </xf>
    <xf borderId="33" fillId="0" fontId="17" numFmtId="0" xfId="0" applyBorder="1" applyFont="1"/>
    <xf borderId="34" fillId="15" fontId="18" numFmtId="0" xfId="0" applyAlignment="1" applyBorder="1" applyFill="1" applyFont="1">
      <alignment horizontal="center" vertical="center"/>
    </xf>
    <xf borderId="35" fillId="0" fontId="17" numFmtId="0" xfId="0" applyBorder="1" applyFont="1"/>
    <xf borderId="36" fillId="0" fontId="17" numFmtId="0" xfId="0" applyBorder="1" applyFont="1"/>
    <xf borderId="34" fillId="8" fontId="6" numFmtId="0" xfId="0" applyAlignment="1" applyBorder="1" applyFill="1" applyFont="1">
      <alignment horizontal="center" readingOrder="0" textRotation="0" vertical="center"/>
    </xf>
    <xf borderId="34" fillId="16" fontId="6" numFmtId="0" xfId="0" applyAlignment="1" applyBorder="1" applyFill="1" applyFont="1">
      <alignment horizontal="center" textRotation="0" vertical="center"/>
    </xf>
    <xf borderId="34" fillId="17" fontId="6" numFmtId="0" xfId="0" applyAlignment="1" applyBorder="1" applyFill="1" applyFont="1">
      <alignment horizontal="center" readingOrder="0" textRotation="0" vertical="center"/>
    </xf>
    <xf borderId="34" fillId="17" fontId="6" numFmtId="0" xfId="0" applyAlignment="1" applyBorder="1" applyFill="1" applyFont="1">
      <alignment horizontal="center" textRotation="0" vertical="center"/>
    </xf>
    <xf borderId="34" fillId="0" fontId="6" numFmtId="0" xfId="0" applyAlignment="1" applyBorder="1" applyFont="1">
      <alignment horizontal="center" textRotation="0" vertical="center"/>
    </xf>
    <xf borderId="34" fillId="18" fontId="6" numFmtId="0" xfId="0" applyAlignment="1" applyBorder="1" applyFill="1" applyFont="1">
      <alignment horizontal="center" textRotation="0" vertical="center"/>
    </xf>
    <xf borderId="34" fillId="8" fontId="6" numFmtId="0" xfId="0" applyAlignment="1" applyBorder="1" applyFill="1" applyFont="1">
      <alignment horizontal="center" textRotation="0" vertical="center"/>
    </xf>
    <xf borderId="12" fillId="0" fontId="33" numFmtId="0" xfId="0" applyAlignment="1" applyBorder="1" applyFont="1">
      <alignment horizontal="center" readingOrder="0" shrinkToFit="0" vertical="center" wrapText="1"/>
    </xf>
    <xf borderId="34" fillId="0" fontId="6" numFmtId="0" xfId="0" applyAlignment="1" applyBorder="1" applyFont="1">
      <alignment horizontal="center" vertical="center"/>
    </xf>
    <xf borderId="27" fillId="7" fontId="18" numFmtId="0" xfId="0" applyAlignment="1" applyBorder="1" applyFill="1" applyFont="1">
      <alignment horizontal="center" textRotation="255" vertical="center"/>
    </xf>
    <xf borderId="16" fillId="15" fontId="18" numFmtId="0" xfId="0" applyAlignment="1" applyBorder="1" applyFill="1" applyFont="1">
      <alignment horizontal="center" vertical="center"/>
    </xf>
    <xf borderId="16" fillId="8" fontId="6" numFmtId="0" xfId="0" applyAlignment="1" applyBorder="1" applyFill="1" applyFont="1">
      <alignment horizontal="center" readingOrder="0" textRotation="0" vertical="center"/>
    </xf>
    <xf borderId="16" fillId="16" fontId="6" numFmtId="0" xfId="0" applyAlignment="1" applyBorder="1" applyFill="1" applyFont="1">
      <alignment horizontal="center" textRotation="0" vertical="center"/>
    </xf>
    <xf borderId="16" fillId="17" fontId="6" numFmtId="0" xfId="0" applyAlignment="1" applyBorder="1" applyFill="1" applyFont="1">
      <alignment horizontal="center" readingOrder="0" textRotation="0" vertical="center"/>
    </xf>
    <xf borderId="16" fillId="17" fontId="6" numFmtId="0" xfId="0" applyAlignment="1" applyBorder="1" applyFill="1" applyFont="1">
      <alignment horizontal="center" textRotation="0" vertical="center"/>
    </xf>
    <xf borderId="16" fillId="0" fontId="6" numFmtId="0" xfId="0" applyAlignment="1" applyBorder="1" applyFont="1">
      <alignment horizontal="center" textRotation="0" vertical="center"/>
    </xf>
    <xf borderId="16" fillId="18" fontId="6" numFmtId="0" xfId="0" applyAlignment="1" applyBorder="1" applyFill="1" applyFont="1">
      <alignment horizontal="center" textRotation="0" vertical="center"/>
    </xf>
    <xf borderId="16" fillId="8" fontId="6" numFmtId="0" xfId="0" applyAlignment="1" applyBorder="1" applyFill="1" applyFont="1">
      <alignment horizontal="center" textRotation="0" vertical="center"/>
    </xf>
    <xf borderId="16" fillId="0" fontId="6" numFmtId="0" xfId="0" applyAlignment="1" applyBorder="1" applyFont="1">
      <alignment horizontal="center" vertical="center"/>
    </xf>
    <xf borderId="9" fillId="16" fontId="6" numFmtId="0" xfId="0" applyAlignment="1" applyBorder="1" applyFill="1" applyFont="1">
      <alignment horizontal="center" textRotation="0" vertical="center"/>
    </xf>
    <xf borderId="37" fillId="0" fontId="3" numFmtId="0" xfId="0" applyAlignment="1" applyBorder="1" applyFont="1">
      <alignment horizontal="center" vertical="center"/>
    </xf>
    <xf borderId="38" fillId="0" fontId="3" numFmtId="0" xfId="0" applyAlignment="1" applyBorder="1" applyFont="1">
      <alignment horizontal="center" vertical="center"/>
    </xf>
    <xf borderId="12" fillId="3" fontId="18" numFmtId="0" xfId="0" applyAlignment="1" applyBorder="1" applyFill="1" applyFont="1">
      <alignment horizontal="center" vertical="center"/>
    </xf>
    <xf borderId="9" fillId="6" fontId="3" numFmtId="0" xfId="0" applyAlignment="1" applyBorder="1" applyFill="1" applyFont="1">
      <alignment horizontal="center" readingOrder="0" vertical="center"/>
    </xf>
    <xf borderId="12" fillId="7" fontId="34" numFmtId="0" xfId="0" applyAlignment="1" applyBorder="1" applyFill="1" applyFont="1">
      <alignment horizontal="center" vertical="center"/>
    </xf>
    <xf borderId="12" fillId="18" fontId="35" numFmtId="0" xfId="0" applyAlignment="1" applyBorder="1" applyFill="1" applyFont="1">
      <alignment horizontal="center" textRotation="0" vertical="center"/>
    </xf>
    <xf borderId="12" fillId="16" fontId="35" numFmtId="0" xfId="0" applyAlignment="1" applyBorder="1" applyFill="1" applyFont="1">
      <alignment horizontal="center" textRotation="0" vertical="center"/>
    </xf>
    <xf borderId="9" fillId="19" fontId="1" numFmtId="0" xfId="0" applyAlignment="1" applyBorder="1" applyFill="1" applyFont="1">
      <alignment horizontal="center" textRotation="0" vertical="center"/>
    </xf>
    <xf borderId="12" fillId="0" fontId="6" numFmtId="0" xfId="0" applyAlignment="1" applyBorder="1" applyFont="1">
      <alignment horizontal="center" readingOrder="0" shrinkToFit="0" vertical="center" wrapText="1"/>
    </xf>
    <xf borderId="0" fillId="0" fontId="6" numFmtId="0" xfId="0" applyAlignment="1" applyFont="1">
      <alignment horizontal="center" vertical="center"/>
    </xf>
    <xf borderId="9" fillId="0" fontId="29" numFmtId="0" xfId="0" applyAlignment="1" applyBorder="1" applyFont="1">
      <alignment horizontal="center"/>
    </xf>
    <xf borderId="10" fillId="0" fontId="29" numFmtId="0" xfId="0" applyAlignment="1" applyBorder="1" applyFont="1">
      <alignment horizontal="center"/>
    </xf>
    <xf borderId="9" fillId="8" fontId="36" numFmtId="0" xfId="0" applyAlignment="1" applyBorder="1" applyFill="1" applyFont="1">
      <alignment horizontal="center" readingOrder="0" vertical="center"/>
    </xf>
    <xf borderId="9" fillId="16" fontId="36" numFmtId="0" xfId="0" applyAlignment="1" applyBorder="1" applyFill="1" applyFont="1">
      <alignment horizontal="center" readingOrder="0" vertical="center"/>
    </xf>
    <xf borderId="9" fillId="0" fontId="36" numFmtId="0" xfId="0" applyAlignment="1" applyBorder="1" applyFont="1">
      <alignment horizontal="center" readingOrder="0" vertical="center"/>
    </xf>
    <xf borderId="9" fillId="18" fontId="6" numFmtId="0" xfId="0" applyAlignment="1" applyBorder="1" applyFill="1" applyFont="1">
      <alignment horizontal="center" vertical="center"/>
    </xf>
    <xf borderId="9" fillId="0" fontId="31" numFmtId="0" xfId="0" applyAlignment="1" applyBorder="1" applyFont="1">
      <alignment horizontal="center" readingOrder="0" vertical="center"/>
    </xf>
    <xf borderId="26" fillId="7" fontId="18" numFmtId="0" xfId="0" applyAlignment="1" applyBorder="1" applyFill="1" applyFont="1">
      <alignment horizontal="center" readingOrder="0" textRotation="255" vertical="center"/>
    </xf>
    <xf borderId="9" fillId="6" fontId="25" numFmtId="0" xfId="0" applyAlignment="1" applyBorder="1" applyFill="1" applyFont="1">
      <alignment horizontal="center" readingOrder="0" vertical="center"/>
    </xf>
    <xf borderId="9" fillId="8" fontId="3" numFmtId="0" xfId="0" applyAlignment="1" applyBorder="1" applyFill="1" applyFont="1">
      <alignment horizontal="center" readingOrder="0" vertical="center"/>
    </xf>
    <xf borderId="9" fillId="18" fontId="3" numFmtId="0" xfId="0" applyAlignment="1" applyBorder="1" applyFill="1" applyFont="1">
      <alignment horizontal="center" vertical="center"/>
    </xf>
    <xf borderId="30" fillId="16" fontId="6" numFmtId="0" xfId="0" applyAlignment="1" applyBorder="1" applyFill="1" applyFont="1">
      <alignment horizontal="center" readingOrder="0" textRotation="0" vertical="center"/>
    </xf>
    <xf borderId="9" fillId="16" fontId="37" numFmtId="0" xfId="0" applyAlignment="1" applyBorder="1" applyFill="1" applyFont="1">
      <alignment horizontal="center" textRotation="0" vertical="center"/>
    </xf>
    <xf borderId="9" fillId="16" fontId="37" numFmtId="0" xfId="0" applyAlignment="1" applyBorder="1" applyFill="1" applyFont="1">
      <alignment horizontal="center" readingOrder="0" textRotation="0" vertical="center"/>
    </xf>
    <xf borderId="9" fillId="16" fontId="36" numFmtId="0" xfId="0" applyAlignment="1" applyBorder="1" applyFill="1" applyFont="1">
      <alignment horizontal="center" vertical="center"/>
    </xf>
    <xf borderId="9" fillId="0" fontId="36" numFmtId="0" xfId="0" applyAlignment="1" applyBorder="1" applyFont="1">
      <alignment horizontal="center" vertical="center"/>
    </xf>
    <xf borderId="9" fillId="0" fontId="31" numFmtId="0" xfId="0" applyAlignment="1" applyBorder="1" applyFont="1">
      <alignment horizontal="center" vertical="center"/>
    </xf>
    <xf borderId="9" fillId="0" fontId="29" numFmtId="0" xfId="0" applyAlignment="1" applyBorder="1" applyFont="1">
      <alignment horizontal="center" vertical="center"/>
    </xf>
    <xf borderId="9" fillId="18" fontId="29" numFmtId="0" xfId="0" applyAlignment="1" applyBorder="1" applyFill="1" applyFont="1">
      <alignment horizontal="center" vertical="center"/>
    </xf>
    <xf borderId="9" fillId="5" fontId="29" numFmtId="0" xfId="0" applyAlignment="1" applyBorder="1" applyFill="1" applyFont="1">
      <alignment horizontal="center" vertical="center"/>
    </xf>
    <xf borderId="9" fillId="4" fontId="29" numFmtId="0" xfId="0" applyAlignment="1" applyBorder="1" applyFill="1" applyFont="1">
      <alignment vertical="center"/>
    </xf>
    <xf borderId="9" fillId="17" fontId="3" numFmtId="0" xfId="0" applyAlignment="1" applyBorder="1" applyFill="1" applyFont="1">
      <alignment horizontal="center" vertical="center"/>
    </xf>
    <xf borderId="9" fillId="20" fontId="3" numFmtId="0" xfId="0" applyAlignment="1" applyBorder="1" applyFill="1" applyFont="1">
      <alignment horizontal="center" vertical="center"/>
    </xf>
    <xf borderId="9" fillId="5" fontId="35" numFmtId="0" xfId="0" applyAlignment="1" applyBorder="1" applyFill="1" applyFont="1">
      <alignment horizontal="center" readingOrder="0" vertical="center"/>
    </xf>
    <xf borderId="9" fillId="20" fontId="3" numFmtId="0" xfId="0" applyAlignment="1" applyBorder="1" applyFill="1" applyFont="1">
      <alignment horizontal="center" readingOrder="0" vertical="center"/>
    </xf>
    <xf borderId="9" fillId="0" fontId="38" numFmtId="0" xfId="0" applyAlignment="1" applyBorder="1" applyFont="1">
      <alignment horizontal="center" readingOrder="0" vertical="center"/>
    </xf>
    <xf borderId="16" fillId="16" fontId="6" numFmtId="0" xfId="0" applyAlignment="1" applyBorder="1" applyFill="1" applyFont="1">
      <alignment horizontal="center" readingOrder="0" textRotation="0" vertical="center"/>
    </xf>
    <xf borderId="9" fillId="15" fontId="18" numFmtId="0" xfId="0" applyAlignment="1" applyBorder="1" applyFill="1" applyFont="1">
      <alignment horizontal="center" readingOrder="0" vertical="center"/>
    </xf>
    <xf borderId="12" fillId="15" fontId="18" numFmtId="0" xfId="0" applyAlignment="1" applyBorder="1" applyFill="1" applyFont="1">
      <alignment horizontal="center" readingOrder="0" vertical="center"/>
    </xf>
    <xf borderId="12" fillId="8" fontId="36" numFmtId="0" xfId="0" applyAlignment="1" applyBorder="1" applyFill="1" applyFont="1">
      <alignment horizontal="center" readingOrder="0" vertical="center"/>
    </xf>
    <xf borderId="12" fillId="16" fontId="36" numFmtId="0" xfId="0" applyAlignment="1" applyBorder="1" applyFill="1" applyFont="1">
      <alignment horizontal="center" vertical="center"/>
    </xf>
    <xf borderId="12" fillId="0" fontId="6" numFmtId="0" xfId="0" applyAlignment="1" applyBorder="1" applyFont="1">
      <alignment horizontal="center" textRotation="0" vertical="center"/>
    </xf>
    <xf borderId="12" fillId="0" fontId="36" numFmtId="0" xfId="0" applyAlignment="1" applyBorder="1" applyFont="1">
      <alignment horizontal="center" vertical="center"/>
    </xf>
    <xf borderId="12" fillId="18" fontId="6" numFmtId="0" xfId="0" applyAlignment="1" applyBorder="1" applyFill="1" applyFont="1">
      <alignment horizontal="center" vertical="center"/>
    </xf>
    <xf borderId="12" fillId="0" fontId="31" numFmtId="0" xfId="0" applyAlignment="1" applyBorder="1" applyFont="1">
      <alignment horizontal="center" readingOrder="0" vertical="center"/>
    </xf>
    <xf borderId="9" fillId="17" fontId="3" numFmtId="0" xfId="0" applyAlignment="1" applyBorder="1" applyFill="1" applyFont="1">
      <alignment horizontal="center" readingOrder="0" vertical="center"/>
    </xf>
    <xf borderId="30" fillId="8" fontId="36" numFmtId="0" xfId="0" applyAlignment="1" applyBorder="1" applyFill="1" applyFont="1">
      <alignment horizontal="center" readingOrder="0" vertical="center"/>
    </xf>
    <xf borderId="30" fillId="16" fontId="36" numFmtId="0" xfId="0" applyAlignment="1" applyBorder="1" applyFill="1" applyFont="1">
      <alignment horizontal="center" readingOrder="0" vertical="center"/>
    </xf>
    <xf borderId="30" fillId="0" fontId="36" numFmtId="0" xfId="0" applyAlignment="1" applyBorder="1" applyFont="1">
      <alignment horizontal="center" vertical="center"/>
    </xf>
    <xf borderId="30" fillId="18" fontId="6" numFmtId="0" xfId="0" applyAlignment="1" applyBorder="1" applyFill="1" applyFont="1">
      <alignment horizontal="center" vertical="center"/>
    </xf>
    <xf borderId="30" fillId="0" fontId="6" numFmtId="0" xfId="0" applyAlignment="1" applyBorder="1" applyFont="1">
      <alignment horizontal="center" vertical="center"/>
    </xf>
    <xf borderId="30" fillId="0" fontId="31" numFmtId="0" xfId="0" applyAlignment="1" applyBorder="1" applyFont="1">
      <alignment horizontal="center" readingOrder="0" vertical="center"/>
    </xf>
    <xf borderId="9" fillId="8" fontId="36" numFmtId="0" xfId="0" applyAlignment="1" applyBorder="1" applyFill="1" applyFont="1">
      <alignment horizontal="center" vertical="center"/>
    </xf>
    <xf borderId="26" fillId="15" fontId="18" numFmtId="0" xfId="0" applyAlignment="1" applyBorder="1" applyFill="1" applyFont="1">
      <alignment horizontal="center" readingOrder="0" textRotation="255" vertical="center"/>
    </xf>
    <xf borderId="9" fillId="15" fontId="18" numFmtId="0" xfId="0" applyAlignment="1" applyBorder="1" applyFill="1" applyFont="1">
      <alignment horizontal="center" readingOrder="0" textRotation="0" vertical="center"/>
    </xf>
    <xf borderId="12" fillId="7" fontId="18" numFmtId="0" xfId="0" applyAlignment="1" applyBorder="1" applyFill="1" applyFont="1">
      <alignment horizontal="center" readingOrder="0" vertical="center"/>
    </xf>
    <xf borderId="12" fillId="18" fontId="37" numFmtId="0" xfId="0" applyAlignment="1" applyBorder="1" applyFill="1" applyFont="1">
      <alignment horizontal="center" readingOrder="0" textRotation="0" vertical="center"/>
    </xf>
    <xf borderId="12" fillId="16" fontId="37" numFmtId="0" xfId="0" applyAlignment="1" applyBorder="1" applyFill="1" applyFont="1">
      <alignment horizontal="center" textRotation="0" vertical="center"/>
    </xf>
    <xf borderId="12" fillId="0" fontId="31" numFmtId="0" xfId="0" applyAlignment="1" applyBorder="1" applyFont="1">
      <alignment horizontal="center" vertical="center"/>
    </xf>
    <xf borderId="9" fillId="6" fontId="25" numFmtId="0" xfId="0" applyAlignment="1" applyBorder="1" applyFill="1" applyFont="1">
      <alignment horizontal="center" vertical="center"/>
    </xf>
    <xf borderId="0" fillId="0" fontId="3" numFmtId="0" xfId="0" applyAlignment="1" applyFont="1">
      <alignment horizontal="center" readingOrder="0" vertical="center"/>
    </xf>
    <xf borderId="30" fillId="0" fontId="31" numFmtId="0" xfId="0" applyAlignment="1" applyBorder="1" applyFont="1">
      <alignment horizontal="center" vertical="center"/>
    </xf>
    <xf borderId="9" fillId="5" fontId="3" numFmtId="0" xfId="0" applyAlignment="1" applyBorder="1" applyFill="1" applyFont="1">
      <alignment horizontal="center" readingOrder="0" vertical="center"/>
    </xf>
    <xf borderId="34" fillId="8" fontId="36" numFmtId="0" xfId="0" applyAlignment="1" applyBorder="1" applyFill="1" applyFont="1">
      <alignment horizontal="center" vertical="center"/>
    </xf>
    <xf borderId="34" fillId="16" fontId="36" numFmtId="0" xfId="0" applyAlignment="1" applyBorder="1" applyFill="1" applyFont="1">
      <alignment horizontal="center" readingOrder="0" vertical="center"/>
    </xf>
    <xf borderId="34" fillId="0" fontId="6" numFmtId="0" xfId="0" applyAlignment="1" applyBorder="1" applyFont="1">
      <alignment horizontal="center" readingOrder="0" textRotation="0" vertical="center"/>
    </xf>
    <xf borderId="34" fillId="0" fontId="36" numFmtId="0" xfId="0" applyAlignment="1" applyBorder="1" applyFont="1">
      <alignment horizontal="center" vertical="center"/>
    </xf>
    <xf borderId="34" fillId="18" fontId="6" numFmtId="0" xfId="0" applyAlignment="1" applyBorder="1" applyFill="1" applyFont="1">
      <alignment horizontal="center" vertical="center"/>
    </xf>
    <xf borderId="34" fillId="0" fontId="31" numFmtId="0" xfId="0" applyAlignment="1" applyBorder="1" applyFont="1">
      <alignment horizontal="center" vertical="center"/>
    </xf>
    <xf borderId="9" fillId="4" fontId="18" numFmtId="0" xfId="0" applyAlignment="1" applyBorder="1" applyFill="1" applyFont="1">
      <alignment horizontal="center" readingOrder="0" shrinkToFit="0" vertical="center" wrapText="0"/>
    </xf>
    <xf borderId="16" fillId="15" fontId="18" numFmtId="0" xfId="0" applyAlignment="1" applyBorder="1" applyFill="1" applyFont="1">
      <alignment horizontal="center" readingOrder="0" vertical="center"/>
    </xf>
    <xf borderId="16" fillId="8" fontId="36" numFmtId="0" xfId="0" applyAlignment="1" applyBorder="1" applyFill="1" applyFont="1">
      <alignment horizontal="center" vertical="center"/>
    </xf>
    <xf borderId="16" fillId="16" fontId="36" numFmtId="0" xfId="0" applyAlignment="1" applyBorder="1" applyFill="1" applyFont="1">
      <alignment horizontal="center" readingOrder="0" vertical="center"/>
    </xf>
    <xf borderId="16" fillId="0" fontId="6" numFmtId="0" xfId="0" applyAlignment="1" applyBorder="1" applyFont="1">
      <alignment horizontal="center" readingOrder="0" textRotation="0" vertical="center"/>
    </xf>
    <xf borderId="16" fillId="0" fontId="36" numFmtId="0" xfId="0" applyAlignment="1" applyBorder="1" applyFont="1">
      <alignment horizontal="center" vertical="center"/>
    </xf>
    <xf borderId="16" fillId="18" fontId="6" numFmtId="0" xfId="0" applyAlignment="1" applyBorder="1" applyFill="1" applyFont="1">
      <alignment horizontal="center" vertical="center"/>
    </xf>
    <xf borderId="16" fillId="0" fontId="31" numFmtId="0" xfId="0" applyAlignment="1" applyBorder="1" applyFont="1">
      <alignment horizontal="center" vertical="center"/>
    </xf>
    <xf borderId="9" fillId="3" fontId="39" numFmtId="0" xfId="0" applyAlignment="1" applyBorder="1" applyFill="1" applyFont="1">
      <alignment horizontal="center" readingOrder="0" shrinkToFit="0" vertical="center" wrapText="1"/>
    </xf>
    <xf borderId="9" fillId="0" fontId="29" numFmtId="165" xfId="0" applyAlignment="1" applyBorder="1" applyFont="1" applyNumberFormat="1">
      <alignment horizontal="center" readingOrder="0" vertical="center"/>
    </xf>
    <xf borderId="10" fillId="0" fontId="29" numFmtId="166" xfId="0" applyAlignment="1" applyBorder="1" applyFont="1" applyNumberFormat="1">
      <alignment horizontal="center" readingOrder="0" vertical="center"/>
    </xf>
    <xf borderId="9" fillId="0" fontId="25" numFmtId="166" xfId="0" applyAlignment="1" applyBorder="1" applyFont="1" applyNumberFormat="1">
      <alignment horizontal="center" readingOrder="0" vertical="center"/>
    </xf>
    <xf borderId="9" fillId="0" fontId="25" numFmtId="0" xfId="0" applyAlignment="1" applyBorder="1" applyFont="1">
      <alignment horizontal="center" readingOrder="0" shrinkToFit="0" vertical="center" wrapText="0"/>
    </xf>
    <xf borderId="12" fillId="3" fontId="39" numFmtId="0" xfId="0" applyAlignment="1" applyBorder="1" applyFill="1" applyFont="1">
      <alignment horizontal="center" readingOrder="0" shrinkToFit="0" vertical="center" wrapText="1"/>
    </xf>
    <xf borderId="9" fillId="7" fontId="40" numFmtId="0" xfId="0" applyAlignment="1" applyBorder="1" applyFill="1" applyFont="1">
      <alignment horizontal="center" vertical="center"/>
    </xf>
    <xf borderId="10" fillId="0" fontId="25" numFmtId="166" xfId="0" applyAlignment="1" applyBorder="1" applyFont="1" applyNumberFormat="1">
      <alignment horizontal="center" readingOrder="0" vertical="center"/>
    </xf>
    <xf borderId="12" fillId="0" fontId="25" numFmtId="166" xfId="0" applyAlignment="1" applyBorder="1" applyFont="1" applyNumberFormat="1">
      <alignment horizontal="center" readingOrder="0" vertical="center"/>
    </xf>
    <xf borderId="12" fillId="0" fontId="25" numFmtId="0" xfId="0" applyAlignment="1" applyBorder="1" applyFont="1">
      <alignment horizontal="center" readingOrder="0" shrinkToFit="0" vertical="center" wrapText="0"/>
    </xf>
    <xf borderId="19" fillId="0" fontId="25" numFmtId="0" xfId="0" applyAlignment="1" applyBorder="1" applyFont="1">
      <alignment horizontal="center" readingOrder="0" shrinkToFit="0" vertical="center" wrapText="1"/>
    </xf>
    <xf borderId="9" fillId="0" fontId="28" numFmtId="166" xfId="0" applyAlignment="1" applyBorder="1" applyFont="1" applyNumberFormat="1">
      <alignment horizontal="center" vertical="center"/>
    </xf>
    <xf borderId="12" fillId="7" fontId="39" numFmtId="0" xfId="0" applyAlignment="1" applyBorder="1" applyFill="1" applyFont="1">
      <alignment horizontal="center" readingOrder="0" shrinkToFit="0" vertical="center" wrapText="1"/>
    </xf>
    <xf borderId="12" fillId="0" fontId="41" numFmtId="1" xfId="0" applyAlignment="1" applyBorder="1" applyFont="1" applyNumberFormat="1">
      <alignment horizontal="center" readingOrder="0" vertical="center"/>
    </xf>
    <xf borderId="12" fillId="7" fontId="39" numFmtId="0" xfId="0" applyAlignment="1" applyBorder="1" applyFill="1" applyFont="1">
      <alignment horizontal="center" readingOrder="0" vertical="center"/>
    </xf>
    <xf borderId="12" fillId="0" fontId="42" numFmtId="1" xfId="0" applyAlignment="1" applyBorder="1" applyFont="1" applyNumberFormat="1">
      <alignment horizontal="center" readingOrder="0"/>
    </xf>
    <xf borderId="12" fillId="7" fontId="39" numFmtId="0" xfId="0" applyAlignment="1" applyBorder="1" applyFill="1" applyFont="1">
      <alignment horizontal="center" readingOrder="0" vertical="center"/>
    </xf>
    <xf borderId="12" fillId="0" fontId="42" numFmtId="1" xfId="0" applyAlignment="1" applyBorder="1" applyFont="1" applyNumberFormat="1">
      <alignment horizontal="center" readingOrder="0" vertical="center"/>
    </xf>
    <xf borderId="39" fillId="0" fontId="3" numFmtId="0" xfId="0" applyAlignment="1" applyBorder="1" applyFont="1">
      <alignment horizontal="center" vertical="center"/>
    </xf>
    <xf borderId="40" fillId="0" fontId="17" numFmtId="0" xfId="0" applyBorder="1" applyFont="1"/>
    <xf borderId="41" fillId="4" fontId="18" numFmtId="0" xfId="0" applyAlignment="1" applyBorder="1" applyFill="1" applyFont="1">
      <alignment horizontal="center" vertical="center"/>
    </xf>
    <xf borderId="16" fillId="8" fontId="36" numFmtId="0" xfId="0" applyAlignment="1" applyBorder="1" applyFill="1" applyFont="1">
      <alignment horizontal="center" readingOrder="0" vertical="center"/>
    </xf>
    <xf borderId="42" fillId="0" fontId="17" numFmtId="0" xfId="0" applyBorder="1" applyFont="1"/>
    <xf borderId="43" fillId="21" fontId="43" numFmtId="0" xfId="0" applyAlignment="1" applyBorder="1" applyFill="1" applyFont="1">
      <alignment horizontal="center" vertical="center"/>
    </xf>
    <xf borderId="44" fillId="0" fontId="17" numFmtId="0" xfId="0" applyBorder="1" applyFont="1"/>
    <xf borderId="43" fillId="22" fontId="43" numFmtId="0" xfId="0" applyAlignment="1" applyBorder="1" applyFill="1" applyFont="1">
      <alignment horizontal="center" readingOrder="0" vertical="center"/>
    </xf>
    <xf borderId="45" fillId="12" fontId="43" numFmtId="0" xfId="0" applyAlignment="1" applyBorder="1" applyFill="1" applyFont="1">
      <alignment horizontal="center" vertical="center"/>
    </xf>
    <xf borderId="44" fillId="22" fontId="44" numFmtId="0" xfId="0" applyAlignment="1" applyBorder="1" applyFill="1" applyFont="1">
      <alignment horizontal="center" vertical="center"/>
    </xf>
    <xf borderId="44" fillId="22" fontId="19" numFmtId="0" xfId="0" applyAlignment="1" applyBorder="1" applyFill="1" applyFont="1">
      <alignment horizontal="center" vertical="center"/>
    </xf>
    <xf borderId="46" fillId="0" fontId="17" numFmtId="0" xfId="0" applyBorder="1" applyFont="1"/>
    <xf borderId="47" fillId="21" fontId="5" numFmtId="0" xfId="0" applyAlignment="1" applyBorder="1" applyFill="1" applyFont="1">
      <alignment horizontal="center" vertical="center"/>
    </xf>
    <xf borderId="48" fillId="0" fontId="17" numFmtId="0" xfId="0" applyBorder="1" applyFont="1"/>
    <xf borderId="49" fillId="21" fontId="5" numFmtId="0" xfId="0" applyAlignment="1" applyBorder="1" applyFill="1" applyFont="1">
      <alignment horizontal="center" vertical="center"/>
    </xf>
    <xf borderId="49" fillId="21" fontId="5" numFmtId="0" xfId="0" applyAlignment="1" applyBorder="1" applyFill="1" applyFont="1">
      <alignment horizontal="center" readingOrder="0" vertical="center"/>
    </xf>
    <xf borderId="50" fillId="0" fontId="17" numFmtId="0" xfId="0" applyBorder="1" applyFont="1"/>
    <xf borderId="44" fillId="21" fontId="43" numFmtId="0" xfId="0" applyAlignment="1" applyBorder="1" applyFill="1" applyFont="1">
      <alignment horizontal="center" vertical="center"/>
    </xf>
    <xf borderId="44" fillId="22" fontId="19" numFmtId="0" xfId="0" applyAlignment="1" applyBorder="1" applyFill="1" applyFont="1">
      <alignment horizontal="center" readingOrder="0" vertical="center"/>
    </xf>
    <xf borderId="51" fillId="21" fontId="43" numFmtId="0" xfId="0" applyAlignment="1" applyBorder="1" applyFill="1" applyFont="1">
      <alignment horizontal="center" vertical="center"/>
    </xf>
    <xf borderId="9" fillId="22" fontId="43" numFmtId="0" xfId="0" applyAlignment="1" applyBorder="1" applyFill="1" applyFont="1">
      <alignment horizontal="center" readingOrder="0" vertical="center"/>
    </xf>
    <xf borderId="9" fillId="12" fontId="43" numFmtId="0" xfId="0" applyAlignment="1" applyBorder="1" applyFill="1" applyFont="1">
      <alignment horizontal="center" readingOrder="0" vertical="center"/>
    </xf>
    <xf borderId="10" fillId="22" fontId="44" numFmtId="0" xfId="0" applyAlignment="1" applyBorder="1" applyFill="1" applyFont="1">
      <alignment horizontal="center" readingOrder="0" vertical="center"/>
    </xf>
    <xf borderId="9" fillId="12" fontId="43" numFmtId="0" xfId="0" applyAlignment="1" applyBorder="1" applyFill="1" applyFont="1">
      <alignment horizontal="center" vertical="center"/>
    </xf>
    <xf borderId="9" fillId="22" fontId="19" numFmtId="0" xfId="0" applyAlignment="1" applyBorder="1" applyFill="1" applyFont="1">
      <alignment horizontal="center" readingOrder="0" vertical="center"/>
    </xf>
    <xf borderId="9" fillId="21" fontId="5" numFmtId="0" xfId="0" applyAlignment="1" applyBorder="1" applyFill="1" applyFont="1">
      <alignment horizontal="center" readingOrder="0" vertical="center"/>
    </xf>
    <xf borderId="9" fillId="21" fontId="5" numFmtId="0" xfId="0" applyAlignment="1" applyBorder="1" applyFill="1" applyFont="1">
      <alignment horizontal="center" vertical="center"/>
    </xf>
    <xf borderId="9" fillId="21" fontId="43" numFmtId="0" xfId="0" applyAlignment="1" applyBorder="1" applyFill="1" applyFont="1">
      <alignment horizontal="center" vertical="center"/>
    </xf>
    <xf borderId="9" fillId="22" fontId="19" numFmtId="0" xfId="0" applyAlignment="1" applyBorder="1" applyFill="1" applyFont="1">
      <alignment horizontal="center" vertical="center"/>
    </xf>
    <xf borderId="52" fillId="0" fontId="3" numFmtId="0" xfId="0" applyAlignment="1" applyBorder="1" applyFont="1">
      <alignment horizontal="center" vertical="center"/>
    </xf>
    <xf borderId="12" fillId="7" fontId="18" numFmtId="0" xfId="0" applyAlignment="1" applyBorder="1" applyFill="1" applyFont="1">
      <alignment horizontal="center" readingOrder="0" vertical="center"/>
    </xf>
    <xf borderId="12" fillId="16" fontId="37" numFmtId="0" xfId="0" applyAlignment="1" applyBorder="1" applyFill="1" applyFont="1">
      <alignment horizontal="center" vertical="center"/>
    </xf>
    <xf borderId="12" fillId="0" fontId="3" numFmtId="0" xfId="0" applyAlignment="1" applyBorder="1" applyFont="1">
      <alignment horizontal="center" readingOrder="0" vertical="center"/>
    </xf>
    <xf borderId="12" fillId="16" fontId="37" numFmtId="0" xfId="0" applyAlignment="1" applyBorder="1" applyFill="1" applyFont="1">
      <alignment horizontal="center" readingOrder="0" vertical="center"/>
    </xf>
    <xf borderId="12" fillId="23" fontId="37" numFmtId="0" xfId="0" applyAlignment="1" applyBorder="1" applyFill="1" applyFont="1">
      <alignment horizontal="center" vertical="center"/>
    </xf>
    <xf borderId="53" fillId="21" fontId="43" numFmtId="0" xfId="0" applyAlignment="1" applyBorder="1" applyFill="1" applyFont="1">
      <alignment horizontal="center" readingOrder="0" vertical="center"/>
    </xf>
    <xf borderId="54" fillId="0" fontId="45" numFmtId="0" xfId="0" applyAlignment="1" applyBorder="1" applyFont="1">
      <alignment horizontal="center" vertical="center"/>
    </xf>
    <xf borderId="55" fillId="0" fontId="17" numFmtId="0" xfId="0" applyBorder="1" applyFont="1"/>
    <xf borderId="10" fillId="21" fontId="43" numFmtId="0" xfId="0" applyAlignment="1" applyBorder="1" applyFill="1" applyFont="1">
      <alignment horizontal="center" vertical="center"/>
    </xf>
    <xf borderId="10" fillId="22" fontId="19" numFmtId="0" xfId="0" applyAlignment="1" applyBorder="1" applyFill="1" applyFont="1">
      <alignment horizontal="center" vertical="center"/>
    </xf>
    <xf borderId="56" fillId="0" fontId="17" numFmtId="0" xfId="0" applyBorder="1" applyFont="1"/>
    <xf borderId="57" fillId="21" fontId="43" numFmtId="0" xfId="0" applyAlignment="1" applyBorder="1" applyFill="1" applyFont="1">
      <alignment horizontal="center" readingOrder="0" vertical="center"/>
    </xf>
    <xf borderId="12" fillId="0" fontId="45" numFmtId="0" xfId="0" applyAlignment="1" applyBorder="1" applyFont="1">
      <alignment horizontal="center" readingOrder="0" shrinkToFit="0" vertical="center" wrapText="1"/>
    </xf>
    <xf borderId="58" fillId="0" fontId="3" numFmtId="0" xfId="0" applyAlignment="1" applyBorder="1" applyFont="1">
      <alignment horizontal="center" vertical="center"/>
    </xf>
    <xf borderId="59" fillId="0" fontId="17" numFmtId="0" xfId="0" applyBorder="1" applyFont="1"/>
    <xf borderId="60" fillId="0" fontId="17" numFmtId="0" xfId="0" applyBorder="1" applyFont="1"/>
    <xf borderId="61" fillId="0" fontId="17" numFmtId="0" xfId="0" applyBorder="1" applyFont="1"/>
    <xf borderId="62" fillId="0" fontId="17" numFmtId="0" xfId="0" applyBorder="1" applyFont="1"/>
    <xf borderId="63" fillId="0" fontId="17" numFmtId="0" xfId="0" applyBorder="1" applyFont="1"/>
    <xf borderId="64" fillId="21" fontId="43" numFmtId="0" xfId="0" applyAlignment="1" applyBorder="1" applyFill="1" applyFont="1">
      <alignment horizontal="center" vertical="center"/>
    </xf>
    <xf borderId="64" fillId="0" fontId="17" numFmtId="0" xfId="0" applyBorder="1" applyFont="1"/>
    <xf borderId="64" fillId="22" fontId="19" numFmtId="0" xfId="0" applyAlignment="1" applyBorder="1" applyFill="1" applyFont="1">
      <alignment horizontal="center" vertical="center"/>
    </xf>
    <xf borderId="64" fillId="21" fontId="43" numFmtId="49" xfId="0" applyAlignment="1" applyBorder="1" applyFill="1" applyFont="1" applyNumberFormat="1">
      <alignment horizontal="center" vertical="center"/>
    </xf>
    <xf borderId="64" fillId="22" fontId="3" numFmtId="0" xfId="0" applyAlignment="1" applyBorder="1" applyFill="1" applyFont="1">
      <alignment horizontal="center" vertical="center"/>
    </xf>
    <xf borderId="65" fillId="0" fontId="17" numFmtId="0" xfId="0" applyBorder="1" applyFont="1"/>
    <xf borderId="66" fillId="0" fontId="17" numFmtId="0" xfId="0" applyBorder="1" applyFont="1"/>
    <xf borderId="67" fillId="0" fontId="17" numFmtId="0" xfId="0" applyBorder="1" applyFont="1"/>
    <xf borderId="68" fillId="0" fontId="17" numFmtId="0" xfId="0" applyBorder="1" applyFont="1"/>
    <xf borderId="69" fillId="0" fontId="17" numFmtId="0" xfId="0" applyBorder="1" applyFont="1"/>
    <xf borderId="34" fillId="21" fontId="43" numFmtId="0" xfId="0" applyAlignment="1" applyBorder="1" applyFill="1" applyFont="1">
      <alignment horizontal="center" vertical="center"/>
    </xf>
    <xf borderId="34" fillId="22" fontId="19" numFmtId="0" xfId="0" applyAlignment="1" applyBorder="1" applyFill="1" applyFont="1">
      <alignment horizontal="center" vertical="center"/>
    </xf>
    <xf borderId="34" fillId="22" fontId="19" numFmtId="0" xfId="0" applyAlignment="1" applyBorder="1" applyFill="1" applyFont="1">
      <alignment horizontal="center" readingOrder="0" vertical="center"/>
    </xf>
    <xf borderId="34" fillId="21" fontId="43" numFmtId="49" xfId="0" applyAlignment="1" applyBorder="1" applyFill="1" applyFont="1" applyNumberFormat="1">
      <alignment horizontal="center" readingOrder="0" vertical="center"/>
    </xf>
    <xf borderId="34" fillId="21" fontId="43" numFmtId="0" xfId="0" applyAlignment="1" applyBorder="1" applyFill="1" applyFont="1">
      <alignment horizontal="center" readingOrder="0" vertical="center"/>
    </xf>
    <xf borderId="34" fillId="22" fontId="3" numFmtId="0" xfId="0" applyAlignment="1" applyBorder="1" applyFill="1" applyFont="1">
      <alignment horizontal="center" readingOrder="0" vertical="center"/>
    </xf>
    <xf borderId="70" fillId="0" fontId="17" numFmtId="0" xfId="0" applyBorder="1" applyFont="1"/>
    <xf borderId="9" fillId="19" fontId="1" numFmtId="0" xfId="0" applyAlignment="1" applyBorder="1" applyFill="1" applyFont="1">
      <alignment horizontal="center" vertical="center"/>
    </xf>
    <xf borderId="71" fillId="21" fontId="43" numFmtId="0" xfId="0" applyAlignment="1" applyBorder="1" applyFill="1" applyFont="1">
      <alignment horizontal="center" vertical="center"/>
    </xf>
    <xf borderId="16" fillId="22" fontId="43" numFmtId="0" xfId="0" applyAlignment="1" applyBorder="1" applyFill="1" applyFont="1">
      <alignment horizontal="center" readingOrder="0" vertical="center"/>
    </xf>
    <xf borderId="16" fillId="12" fontId="43" numFmtId="0" xfId="0" applyAlignment="1" applyBorder="1" applyFill="1" applyFont="1">
      <alignment horizontal="center" readingOrder="0" vertical="center"/>
    </xf>
    <xf borderId="17" fillId="22" fontId="44" numFmtId="0" xfId="0" applyAlignment="1" applyBorder="1" applyFill="1" applyFont="1">
      <alignment horizontal="center" vertical="center"/>
    </xf>
    <xf borderId="16" fillId="12" fontId="43" numFmtId="0" xfId="0" applyAlignment="1" applyBorder="1" applyFill="1" applyFont="1">
      <alignment horizontal="center" vertical="center"/>
    </xf>
    <xf borderId="16" fillId="22" fontId="19" numFmtId="0" xfId="0" applyAlignment="1" applyBorder="1" applyFill="1" applyFont="1">
      <alignment horizontal="center" vertical="center"/>
    </xf>
    <xf borderId="16" fillId="21" fontId="5" numFmtId="0" xfId="0" applyAlignment="1" applyBorder="1" applyFill="1" applyFont="1">
      <alignment horizontal="center" vertical="center"/>
    </xf>
    <xf borderId="16" fillId="21" fontId="5" numFmtId="0" xfId="0" applyAlignment="1" applyBorder="1" applyFill="1" applyFont="1">
      <alignment horizontal="center" readingOrder="0" vertical="center"/>
    </xf>
    <xf borderId="16" fillId="21" fontId="43" numFmtId="0" xfId="0" applyAlignment="1" applyBorder="1" applyFill="1" applyFont="1">
      <alignment horizontal="center" vertical="center"/>
    </xf>
    <xf borderId="16" fillId="22" fontId="19" numFmtId="0" xfId="0" applyAlignment="1" applyBorder="1" applyFill="1" applyFont="1">
      <alignment horizontal="center" readingOrder="0" vertical="center"/>
    </xf>
    <xf borderId="72" fillId="0" fontId="17" numFmtId="0" xfId="0" applyBorder="1" applyFont="1"/>
    <xf borderId="9" fillId="16" fontId="37" numFmtId="0" xfId="0" applyAlignment="1" applyBorder="1" applyFill="1" applyFont="1">
      <alignment horizontal="center" vertical="center"/>
    </xf>
    <xf borderId="73" fillId="21" fontId="43" numFmtId="0" xfId="0" applyAlignment="1" applyBorder="1" applyFill="1" applyFont="1">
      <alignment horizontal="center" readingOrder="0" vertical="center"/>
    </xf>
    <xf borderId="47" fillId="0" fontId="17" numFmtId="0" xfId="0" applyBorder="1" applyFont="1"/>
    <xf borderId="47" fillId="22" fontId="43" numFmtId="0" xfId="0" applyAlignment="1" applyBorder="1" applyFill="1" applyFont="1">
      <alignment horizontal="center" readingOrder="0" vertical="center"/>
    </xf>
    <xf borderId="74" fillId="12" fontId="43" numFmtId="0" xfId="0" applyAlignment="1" applyBorder="1" applyFill="1" applyFont="1">
      <alignment horizontal="center" vertical="center"/>
    </xf>
    <xf borderId="74" fillId="0" fontId="17" numFmtId="0" xfId="0" applyBorder="1" applyFont="1"/>
    <xf borderId="74" fillId="21" fontId="43" numFmtId="0" xfId="0" applyAlignment="1" applyBorder="1" applyFill="1" applyFont="1">
      <alignment horizontal="center" readingOrder="0" vertical="center"/>
    </xf>
    <xf borderId="74" fillId="22" fontId="19" numFmtId="0" xfId="0" applyAlignment="1" applyBorder="1" applyFill="1" applyFont="1">
      <alignment horizontal="center" vertical="center"/>
    </xf>
    <xf borderId="75" fillId="0" fontId="17" numFmtId="0" xfId="0" applyBorder="1" applyFont="1"/>
    <xf borderId="76" fillId="22" fontId="19" numFmtId="165" xfId="0" applyAlignment="1" applyBorder="1" applyFill="1" applyFont="1" applyNumberFormat="1">
      <alignment horizontal="center" readingOrder="0" vertical="center"/>
    </xf>
    <xf borderId="77" fillId="21" fontId="43" numFmtId="0" xfId="0" applyAlignment="1" applyBorder="1" applyFill="1" applyFont="1">
      <alignment horizontal="center" readingOrder="0" vertical="center"/>
    </xf>
    <xf borderId="47" fillId="22" fontId="19" numFmtId="0" xfId="0" applyAlignment="1" applyBorder="1" applyFill="1" applyFont="1">
      <alignment horizontal="center" vertical="center"/>
    </xf>
    <xf borderId="47" fillId="21" fontId="43" numFmtId="0" xfId="0" applyAlignment="1" applyBorder="1" applyFill="1" applyFont="1">
      <alignment horizontal="center" readingOrder="0" vertical="center"/>
    </xf>
    <xf borderId="78" fillId="21" fontId="43" numFmtId="0" xfId="0" applyAlignment="1" applyBorder="1" applyFill="1" applyFont="1">
      <alignment horizontal="center" readingOrder="0" vertical="center"/>
    </xf>
    <xf borderId="78" fillId="0" fontId="17" numFmtId="0" xfId="0" applyBorder="1" applyFont="1"/>
    <xf borderId="78" fillId="22" fontId="19" numFmtId="0" xfId="0" applyAlignment="1" applyBorder="1" applyFill="1" applyFont="1">
      <alignment horizontal="center" vertical="center"/>
    </xf>
    <xf borderId="73" fillId="12" fontId="43" numFmtId="0" xfId="0" applyAlignment="1" applyBorder="1" applyFill="1" applyFont="1">
      <alignment horizontal="center" vertical="center"/>
    </xf>
    <xf borderId="79" fillId="21" fontId="5" numFmtId="0" xfId="0" applyAlignment="1" applyBorder="1" applyFill="1" applyFont="1">
      <alignment horizontal="center" vertical="center"/>
    </xf>
    <xf borderId="79" fillId="0" fontId="17" numFmtId="0" xfId="0" applyBorder="1" applyFont="1"/>
    <xf borderId="79" fillId="22" fontId="19" numFmtId="0" xfId="0" applyAlignment="1" applyBorder="1" applyFill="1" applyFont="1">
      <alignment horizontal="center" vertical="center"/>
    </xf>
    <xf borderId="80" fillId="0" fontId="17" numFmtId="0" xfId="0" applyBorder="1" applyFont="1"/>
    <xf borderId="81" fillId="0" fontId="17" numFmtId="0" xfId="0" applyBorder="1" applyFont="1"/>
    <xf borderId="47" fillId="12" fontId="43" numFmtId="0" xfId="0" applyAlignment="1" applyBorder="1" applyFill="1" applyFont="1">
      <alignment horizontal="center" vertical="center"/>
    </xf>
    <xf borderId="12" fillId="0" fontId="45" numFmtId="0" xfId="0" applyAlignment="1" applyBorder="1" applyFont="1">
      <alignment horizontal="center" shrinkToFit="0" vertical="center" wrapText="1"/>
    </xf>
    <xf borderId="9" fillId="22" fontId="46" numFmtId="3" xfId="0" applyAlignment="1" applyBorder="1" applyFill="1" applyFont="1" applyNumberFormat="1">
      <alignment horizontal="center" vertical="center"/>
    </xf>
    <xf borderId="9" fillId="16" fontId="37" numFmtId="0" xfId="0" applyAlignment="1" applyBorder="1" applyFill="1" applyFont="1">
      <alignment horizontal="center" readingOrder="0" vertical="center"/>
    </xf>
    <xf borderId="82" fillId="0" fontId="17" numFmtId="0" xfId="0" applyBorder="1" applyFont="1"/>
    <xf borderId="83" fillId="12" fontId="43" numFmtId="0" xfId="0" applyAlignment="1" applyBorder="1" applyFill="1" applyFont="1">
      <alignment horizontal="center" vertical="center"/>
    </xf>
    <xf borderId="83" fillId="0" fontId="17" numFmtId="0" xfId="0" applyBorder="1" applyFont="1"/>
    <xf borderId="83" fillId="21" fontId="43" numFmtId="0" xfId="0" applyAlignment="1" applyBorder="1" applyFill="1" applyFont="1">
      <alignment horizontal="center" vertical="center"/>
    </xf>
    <xf borderId="83" fillId="22" fontId="19" numFmtId="0" xfId="0" applyAlignment="1" applyBorder="1" applyFill="1" applyFont="1">
      <alignment horizontal="center" vertical="center"/>
    </xf>
    <xf borderId="84" fillId="0" fontId="17" numFmtId="0" xfId="0" applyBorder="1" applyFont="1"/>
    <xf borderId="85" fillId="22" fontId="19" numFmtId="165" xfId="0" applyAlignment="1" applyBorder="1" applyFill="1" applyFont="1" applyNumberFormat="1">
      <alignment horizontal="center" readingOrder="0" vertical="center"/>
    </xf>
    <xf borderId="83" fillId="21" fontId="43" numFmtId="0" xfId="0" applyAlignment="1" applyBorder="1" applyFill="1" applyFont="1">
      <alignment horizontal="center" readingOrder="0" vertical="center"/>
    </xf>
    <xf borderId="83" fillId="22" fontId="19" numFmtId="0" xfId="0" applyAlignment="1" applyBorder="1" applyFill="1" applyFont="1">
      <alignment horizontal="center" readingOrder="0" vertical="center"/>
    </xf>
    <xf borderId="86" fillId="0" fontId="17" numFmtId="0" xfId="0" applyBorder="1" applyFont="1"/>
    <xf borderId="87" fillId="21" fontId="43" numFmtId="0" xfId="0" applyAlignment="1" applyBorder="1" applyFill="1" applyFont="1">
      <alignment horizontal="center" readingOrder="0" vertical="center"/>
    </xf>
    <xf borderId="87" fillId="0" fontId="17" numFmtId="0" xfId="0" applyBorder="1" applyFont="1"/>
    <xf borderId="87" fillId="22" fontId="19" numFmtId="0" xfId="0" applyAlignment="1" applyBorder="1" applyFill="1" applyFont="1">
      <alignment horizontal="center" vertical="center"/>
    </xf>
    <xf borderId="87" fillId="21" fontId="43" numFmtId="0" xfId="0" applyAlignment="1" applyBorder="1" applyFill="1" applyFont="1">
      <alignment horizontal="center" vertical="center"/>
    </xf>
    <xf borderId="54" fillId="0" fontId="17" numFmtId="0" xfId="0" applyBorder="1" applyFont="1"/>
    <xf borderId="88" fillId="21" fontId="5" numFmtId="0" xfId="0" applyAlignment="1" applyBorder="1" applyFill="1" applyFont="1">
      <alignment horizontal="center" vertical="center"/>
    </xf>
    <xf borderId="88" fillId="0" fontId="17" numFmtId="0" xfId="0" applyBorder="1" applyFont="1"/>
    <xf borderId="88" fillId="22" fontId="19" numFmtId="0" xfId="0" applyAlignment="1" applyBorder="1" applyFill="1" applyFont="1">
      <alignment horizontal="center" vertical="center"/>
    </xf>
    <xf borderId="89" fillId="0" fontId="17" numFmtId="0" xfId="0" applyBorder="1" applyFont="1"/>
    <xf borderId="90" fillId="0" fontId="17" numFmtId="0" xfId="0" applyBorder="1" applyFont="1"/>
    <xf borderId="34" fillId="22" fontId="3" numFmtId="0" xfId="0" applyAlignment="1" applyBorder="1" applyFill="1" applyFont="1">
      <alignment horizontal="center" vertical="center"/>
    </xf>
    <xf borderId="9" fillId="23" fontId="37" numFmtId="0" xfId="0" applyAlignment="1" applyBorder="1" applyFill="1" applyFont="1">
      <alignment horizontal="center" vertical="center"/>
    </xf>
    <xf borderId="59" fillId="21" fontId="43" numFmtId="0" xfId="0" applyAlignment="1" applyBorder="1" applyFill="1" applyFont="1">
      <alignment horizontal="center" vertical="center"/>
    </xf>
    <xf borderId="60" fillId="22" fontId="19" numFmtId="0" xfId="0" applyAlignment="1" applyBorder="1" applyFill="1" applyFont="1">
      <alignment horizontal="center" vertical="center"/>
    </xf>
    <xf borderId="60" fillId="22" fontId="19" numFmtId="0" xfId="0" applyAlignment="1" applyBorder="1" applyFill="1" applyFont="1">
      <alignment horizontal="center" readingOrder="0" vertical="center"/>
    </xf>
    <xf borderId="91" fillId="21" fontId="43" numFmtId="0" xfId="0" applyAlignment="1" applyBorder="1" applyFill="1" applyFont="1">
      <alignment horizontal="center" vertical="center"/>
    </xf>
    <xf borderId="91" fillId="0" fontId="17" numFmtId="0" xfId="0" applyBorder="1" applyFont="1"/>
    <xf borderId="91" fillId="22" fontId="19" numFmtId="0" xfId="0" applyAlignment="1" applyBorder="1" applyFill="1" applyFont="1">
      <alignment horizontal="center" vertical="center"/>
    </xf>
    <xf borderId="92" fillId="0" fontId="17" numFmtId="0" xfId="0" applyBorder="1" applyFont="1"/>
    <xf borderId="60" fillId="21" fontId="43" numFmtId="0" xfId="0" applyAlignment="1" applyBorder="1" applyFill="1" applyFont="1">
      <alignment horizontal="center" readingOrder="0" vertical="center"/>
    </xf>
    <xf borderId="60" fillId="0" fontId="45" numFmtId="0" xfId="0" applyAlignment="1" applyBorder="1" applyFont="1">
      <alignment horizontal="center" vertical="center"/>
    </xf>
    <xf borderId="93" fillId="0" fontId="17" numFmtId="0" xfId="0" applyBorder="1" applyFont="1"/>
    <xf borderId="91" fillId="12" fontId="43" numFmtId="0" xfId="0" applyAlignment="1" applyBorder="1" applyFill="1" applyFont="1">
      <alignment horizontal="center" vertical="center"/>
    </xf>
    <xf borderId="91" fillId="0" fontId="45" numFmtId="0" xfId="0" applyAlignment="1" applyBorder="1" applyFont="1">
      <alignment horizontal="center" vertical="center"/>
    </xf>
    <xf borderId="94" fillId="21" fontId="5" numFmtId="0" xfId="0" applyAlignment="1" applyBorder="1" applyFill="1" applyFont="1">
      <alignment horizontal="center" vertical="center"/>
    </xf>
    <xf borderId="94" fillId="0" fontId="17" numFmtId="0" xfId="0" applyBorder="1" applyFont="1"/>
    <xf borderId="94" fillId="22" fontId="19" numFmtId="0" xfId="0" applyAlignment="1" applyBorder="1" applyFill="1" applyFont="1">
      <alignment horizontal="center" vertical="center"/>
    </xf>
    <xf borderId="95" fillId="0" fontId="17" numFmtId="0" xfId="0" applyBorder="1" applyFont="1"/>
    <xf borderId="96" fillId="0" fontId="17" numFmtId="0" xfId="0" applyBorder="1" applyFont="1"/>
    <xf borderId="9" fillId="22" fontId="1" numFmtId="0" xfId="0" applyAlignment="1" applyBorder="1" applyFill="1" applyFont="1">
      <alignment horizontal="center" readingOrder="0" vertical="center"/>
    </xf>
    <xf borderId="9" fillId="22" fontId="1" numFmtId="0" xfId="0" applyAlignment="1" applyBorder="1" applyFill="1" applyFont="1">
      <alignment horizontal="center" vertical="center"/>
    </xf>
    <xf borderId="9" fillId="0" fontId="1" numFmtId="0" xfId="0" applyAlignment="1" applyBorder="1" applyFont="1">
      <alignment horizontal="center" readingOrder="0" vertical="center"/>
    </xf>
    <xf borderId="9" fillId="22" fontId="46" numFmtId="3" xfId="0" applyAlignment="1" applyBorder="1" applyFill="1" applyFont="1" applyNumberFormat="1">
      <alignment horizontal="center" readingOrder="0" vertical="center"/>
    </xf>
    <xf borderId="9" fillId="23" fontId="37" numFmtId="0" xfId="0" applyAlignment="1" applyBorder="1" applyFill="1" applyFont="1">
      <alignment horizontal="center" readingOrder="0" vertical="center"/>
    </xf>
    <xf borderId="1" fillId="0" fontId="1" numFmtId="0" xfId="0" applyAlignment="1" applyBorder="1" applyFont="1">
      <alignment horizontal="center" vertical="center"/>
    </xf>
    <xf borderId="9" fillId="24" fontId="37" numFmtId="0" xfId="0" applyAlignment="1" applyBorder="1" applyFill="1" applyFont="1">
      <alignment horizontal="center" vertical="center"/>
    </xf>
    <xf borderId="9" fillId="22" fontId="1" numFmtId="0" xfId="0" applyAlignment="1" applyBorder="1" applyFill="1" applyFont="1">
      <alignment horizontal="center" shrinkToFit="0" vertical="center" wrapText="1"/>
    </xf>
    <xf borderId="97" fillId="0" fontId="3" numFmtId="0" xfId="0" applyAlignment="1" applyBorder="1" applyFont="1">
      <alignment horizontal="center" vertical="center"/>
    </xf>
    <xf borderId="97" fillId="0" fontId="3" numFmtId="0" xfId="0" applyAlignment="1" applyBorder="1" applyFont="1">
      <alignment horizontal="center" readingOrder="0" textRotation="0" vertical="center"/>
    </xf>
    <xf borderId="97" fillId="0" fontId="3" numFmtId="0" xfId="0" applyAlignment="1" applyBorder="1" applyFont="1">
      <alignment horizontal="center" textRotation="0" vertical="center"/>
    </xf>
    <xf borderId="97" fillId="0" fontId="3" numFmtId="0" xfId="0" applyAlignment="1" applyBorder="1" applyFont="1">
      <alignment horizontal="center" shrinkToFit="0" vertical="center" wrapText="1"/>
    </xf>
    <xf borderId="98" fillId="0" fontId="3" numFmtId="0" xfId="0" applyAlignment="1" applyBorder="1" applyFont="1">
      <alignment horizontal="center" vertical="center"/>
    </xf>
    <xf borderId="12" fillId="25" fontId="47" numFmtId="0" xfId="0" applyAlignment="1" applyBorder="1" applyFill="1" applyFont="1">
      <alignment horizontal="center" readingOrder="0" textRotation="255" vertical="center"/>
    </xf>
    <xf borderId="12" fillId="7" fontId="18" numFmtId="0" xfId="0" applyAlignment="1" applyBorder="1" applyFill="1" applyFont="1">
      <alignment horizontal="center" readingOrder="0" textRotation="0" vertical="center"/>
    </xf>
    <xf borderId="12" fillId="0" fontId="30" numFmtId="0" xfId="0" applyAlignment="1" applyBorder="1" applyFont="1">
      <alignment horizontal="center" readingOrder="0" vertical="center"/>
    </xf>
    <xf borderId="12" fillId="0" fontId="48" numFmtId="0" xfId="0" applyAlignment="1" applyBorder="1" applyFont="1">
      <alignment horizontal="center" readingOrder="0" vertical="center"/>
    </xf>
    <xf borderId="12" fillId="0" fontId="48" numFmtId="0" xfId="0" applyAlignment="1" applyBorder="1" applyFont="1">
      <alignment horizontal="center" vertical="center"/>
    </xf>
    <xf borderId="12" fillId="0" fontId="49" numFmtId="0" xfId="0" applyAlignment="1" applyBorder="1" applyFont="1">
      <alignment horizontal="center" readingOrder="0" vertical="center"/>
    </xf>
    <xf borderId="12" fillId="0" fontId="50" numFmtId="0" xfId="0" applyAlignment="1" applyBorder="1" applyFont="1">
      <alignment horizontal="center" readingOrder="0" vertical="center"/>
    </xf>
    <xf borderId="12" fillId="0" fontId="51" numFmtId="0" xfId="0" applyAlignment="1" applyBorder="1" applyFont="1">
      <alignment horizontal="center" readingOrder="0" vertical="center"/>
    </xf>
    <xf borderId="12" fillId="0" fontId="52" numFmtId="0" xfId="0" applyAlignment="1" applyBorder="1" applyFont="1">
      <alignment horizontal="center" vertical="center"/>
    </xf>
    <xf borderId="12" fillId="0" fontId="53" numFmtId="0" xfId="0" applyAlignment="1" applyBorder="1" applyFont="1">
      <alignment horizontal="center" readingOrder="0" vertical="center"/>
    </xf>
    <xf borderId="12" fillId="0" fontId="53" numFmtId="0" xfId="0" applyAlignment="1" applyBorder="1" applyFont="1">
      <alignment horizontal="center" vertical="center"/>
    </xf>
    <xf borderId="12" fillId="0" fontId="54" numFmtId="0" xfId="0" applyAlignment="1" applyBorder="1" applyFont="1">
      <alignment horizontal="center" readingOrder="0" vertical="center"/>
    </xf>
    <xf borderId="12" fillId="0" fontId="53" numFmtId="0" xfId="0" applyAlignment="1" applyBorder="1" applyFont="1">
      <alignment horizontal="center" readingOrder="0" vertical="center"/>
    </xf>
    <xf borderId="12" fillId="0" fontId="55" numFmtId="0" xfId="0" applyAlignment="1" applyBorder="1" applyFont="1">
      <alignment horizontal="center" vertical="center"/>
    </xf>
    <xf borderId="12" fillId="7" fontId="18" numFmtId="0" xfId="0" applyAlignment="1" applyBorder="1" applyFill="1" applyFont="1">
      <alignment horizontal="center" readingOrder="0" textRotation="255" vertical="center"/>
    </xf>
    <xf borderId="12" fillId="0" fontId="25" numFmtId="0" xfId="0" applyAlignment="1" applyBorder="1" applyFont="1">
      <alignment horizontal="center" readingOrder="0" vertical="center"/>
    </xf>
    <xf borderId="12" fillId="0" fontId="56" numFmtId="0" xfId="0" applyAlignment="1" applyBorder="1" applyFont="1">
      <alignment horizontal="center" readingOrder="0" vertical="center"/>
    </xf>
    <xf borderId="12" fillId="0" fontId="6" numFmtId="0" xfId="0" applyAlignment="1" applyBorder="1" applyFont="1">
      <alignment horizontal="center" readingOrder="0" vertical="center"/>
    </xf>
    <xf borderId="12" fillId="0" fontId="57" numFmtId="0" xfId="0" applyAlignment="1" applyBorder="1" applyFont="1">
      <alignment horizontal="center" readingOrder="0" vertical="center"/>
    </xf>
    <xf borderId="12" fillId="0" fontId="58" numFmtId="0" xfId="0" applyAlignment="1" applyBorder="1" applyFont="1">
      <alignment horizontal="center" vertical="center"/>
    </xf>
    <xf borderId="12" fillId="6" fontId="25" numFmtId="0" xfId="0" applyAlignment="1" applyBorder="1" applyFill="1" applyFont="1">
      <alignment horizontal="center" readingOrder="0" vertical="center"/>
    </xf>
    <xf borderId="12" fillId="6" fontId="56" numFmtId="0" xfId="0" applyAlignment="1" applyBorder="1" applyFill="1" applyFont="1">
      <alignment horizontal="center" readingOrder="0" vertical="center"/>
    </xf>
    <xf borderId="12" fillId="6" fontId="6" numFmtId="0" xfId="0" applyAlignment="1" applyBorder="1" applyFill="1" applyFont="1">
      <alignment horizontal="center" readingOrder="0" vertical="center"/>
    </xf>
    <xf borderId="12" fillId="6" fontId="59" numFmtId="0" xfId="0" applyAlignment="1" applyBorder="1" applyFill="1" applyFont="1">
      <alignment horizontal="center" readingOrder="0" vertical="center"/>
    </xf>
    <xf borderId="12" fillId="6" fontId="60" numFmtId="0" xfId="0" applyAlignment="1" applyBorder="1" applyFill="1" applyFont="1">
      <alignment horizontal="center" vertical="center"/>
    </xf>
    <xf borderId="12" fillId="0" fontId="61" numFmtId="0" xfId="0" applyAlignment="1" applyBorder="1" applyFont="1">
      <alignment horizontal="center" readingOrder="0" vertical="center"/>
    </xf>
    <xf borderId="12" fillId="6" fontId="62" numFmtId="0" xfId="0" applyAlignment="1" applyBorder="1" applyFill="1" applyFont="1">
      <alignment horizontal="center" readingOrder="0" vertical="center"/>
    </xf>
    <xf borderId="12" fillId="6" fontId="63" numFmtId="0" xfId="0" applyAlignment="1" applyBorder="1" applyFill="1" applyFont="1">
      <alignment horizontal="center" readingOrder="0" vertical="center"/>
    </xf>
    <xf borderId="12" fillId="0" fontId="64" numFmtId="0" xfId="0" applyAlignment="1" applyBorder="1" applyFont="1">
      <alignment horizontal="center" readingOrder="0" vertical="center"/>
    </xf>
    <xf borderId="99" fillId="0" fontId="3" numFmtId="0" xfId="0" applyAlignment="1" applyBorder="1" applyFont="1">
      <alignment horizontal="center" vertical="center"/>
    </xf>
    <xf borderId="12" fillId="6" fontId="65" numFmtId="0" xfId="0" applyAlignment="1" applyBorder="1" applyFill="1" applyFont="1">
      <alignment horizontal="center" vertical="center"/>
    </xf>
    <xf borderId="12" fillId="0" fontId="65" numFmtId="0" xfId="0" applyAlignment="1" applyBorder="1" applyFont="1">
      <alignment horizontal="center" readingOrder="0" vertical="center"/>
    </xf>
    <xf borderId="12" fillId="0" fontId="65" numFmtId="0" xfId="0" applyAlignment="1" applyBorder="1" applyFont="1">
      <alignment horizontal="center" vertical="center"/>
    </xf>
    <xf borderId="12" fillId="6" fontId="66" numFmtId="0" xfId="0" applyAlignment="1" applyBorder="1" applyFill="1" applyFont="1">
      <alignment horizontal="center" vertical="center"/>
    </xf>
    <xf borderId="12" fillId="0" fontId="66" numFmtId="0" xfId="0" applyAlignment="1" applyBorder="1" applyFont="1">
      <alignment horizontal="center" readingOrder="0" vertical="center"/>
    </xf>
    <xf borderId="12" fillId="0" fontId="66" numFmtId="0" xfId="0" applyAlignment="1" applyBorder="1" applyFont="1">
      <alignment horizontal="center" vertical="center"/>
    </xf>
    <xf borderId="12" fillId="15" fontId="18" numFmtId="0" xfId="0" applyAlignment="1" applyBorder="1" applyFill="1" applyFont="1">
      <alignment horizontal="center" readingOrder="0" shrinkToFit="0" vertical="center" wrapText="1"/>
    </xf>
    <xf borderId="12" fillId="0" fontId="67" numFmtId="0" xfId="0" applyAlignment="1" applyBorder="1" applyFont="1">
      <alignment horizontal="center" readingOrder="0" vertical="center"/>
    </xf>
    <xf borderId="12" fillId="0" fontId="68" numFmtId="0" xfId="0" applyAlignment="1" applyBorder="1" applyFont="1">
      <alignment horizontal="center" readingOrder="0" vertical="center"/>
    </xf>
    <xf borderId="9" fillId="15" fontId="34" numFmtId="0" xfId="0" applyAlignment="1" applyBorder="1" applyFill="1" applyFont="1">
      <alignment horizontal="center" readingOrder="0"/>
    </xf>
    <xf borderId="12" fillId="0" fontId="69" numFmtId="0" xfId="0" applyAlignment="1" applyBorder="1" applyFont="1">
      <alignment horizontal="center" vertical="center"/>
    </xf>
    <xf borderId="12" fillId="0" fontId="29" numFmtId="0" xfId="0" applyAlignment="1" applyBorder="1" applyFont="1">
      <alignment horizontal="center" readingOrder="0" vertical="center"/>
    </xf>
    <xf borderId="12" fillId="0" fontId="29" numFmtId="0" xfId="0" applyAlignment="1" applyBorder="1" applyFont="1">
      <alignment horizontal="center" vertical="center"/>
    </xf>
    <xf borderId="12" fillId="0" fontId="53" numFmtId="0" xfId="0" applyAlignment="1" applyBorder="1" applyFont="1">
      <alignment horizontal="center" vertical="center"/>
    </xf>
    <xf borderId="9" fillId="6" fontId="29" numFmtId="0" xfId="0" applyAlignment="1" applyBorder="1" applyFill="1" applyFont="1">
      <alignment horizontal="center"/>
    </xf>
    <xf borderId="12" fillId="6" fontId="70" numFmtId="0" xfId="0" applyAlignment="1" applyBorder="1" applyFill="1" applyFont="1">
      <alignment horizontal="center" readingOrder="0" shrinkToFit="0" vertical="center" wrapText="1"/>
    </xf>
    <xf borderId="12" fillId="0" fontId="67" numFmtId="0" xfId="0" applyAlignment="1" applyBorder="1" applyFont="1">
      <alignment horizontal="center" vertical="center"/>
    </xf>
    <xf borderId="12" fillId="0" fontId="71" numFmtId="0" xfId="0" applyAlignment="1" applyBorder="1" applyFont="1">
      <alignment horizontal="center" vertical="center"/>
    </xf>
    <xf borderId="12" fillId="0" fontId="72" numFmtId="0" xfId="0" applyAlignment="1" applyBorder="1" applyFont="1">
      <alignment horizontal="center" vertical="center"/>
    </xf>
    <xf borderId="9" fillId="7" fontId="18" numFmtId="0" xfId="0" applyAlignment="1" applyBorder="1" applyFill="1" applyFont="1">
      <alignment horizontal="center" readingOrder="0" shrinkToFit="0" vertical="center" wrapText="1"/>
    </xf>
    <xf borderId="12" fillId="15" fontId="16" numFmtId="0" xfId="0" applyAlignment="1" applyBorder="1" applyFill="1" applyFont="1">
      <alignment horizontal="center" readingOrder="0" vertical="center"/>
    </xf>
    <xf borderId="40" fillId="0" fontId="3" numFmtId="0" xfId="0" applyAlignment="1" applyBorder="1" applyFont="1">
      <alignment horizontal="center" vertical="center"/>
    </xf>
    <xf borderId="12" fillId="0" fontId="3" numFmtId="0" xfId="0" applyAlignment="1" applyBorder="1" applyFont="1">
      <alignment horizontal="center" readingOrder="0" shrinkToFit="0" vertical="center" wrapText="1"/>
    </xf>
    <xf borderId="15" fillId="0" fontId="29" numFmtId="0" xfId="0" applyBorder="1" applyFont="1"/>
    <xf borderId="0" fillId="0" fontId="29" numFmtId="0" xfId="0" applyFont="1"/>
    <xf borderId="12" fillId="6" fontId="73" numFmtId="0" xfId="0" applyAlignment="1" applyBorder="1" applyFill="1" applyFont="1">
      <alignment horizontal="center" readingOrder="0" vertical="center"/>
    </xf>
    <xf borderId="40" fillId="0" fontId="29" numFmtId="0" xfId="0" applyBorder="1" applyFont="1"/>
    <xf borderId="73" fillId="0" fontId="74" numFmtId="0" xfId="0" applyAlignment="1" applyBorder="1" applyFont="1">
      <alignment horizontal="center" vertical="center"/>
    </xf>
    <xf borderId="73" fillId="0" fontId="74" numFmtId="0" xfId="0" applyAlignment="1" applyBorder="1" applyFont="1">
      <alignment horizontal="center" readingOrder="0" vertical="center"/>
    </xf>
    <xf borderId="12" fillId="15" fontId="16" numFmtId="0" xfId="0" applyAlignment="1" applyBorder="1" applyFill="1" applyFont="1">
      <alignment horizontal="center" readingOrder="0" shrinkToFit="0" vertical="center" wrapText="1"/>
    </xf>
    <xf borderId="9" fillId="7" fontId="18" numFmtId="0" xfId="0" applyAlignment="1" applyBorder="1" applyFill="1" applyFont="1">
      <alignment horizontal="center" vertical="center"/>
    </xf>
    <xf borderId="12" fillId="4" fontId="75" numFmtId="0" xfId="0" applyAlignment="1" applyBorder="1" applyFill="1" applyFont="1">
      <alignment horizontal="center" vertical="center"/>
    </xf>
    <xf borderId="9" fillId="4" fontId="75" numFmtId="0" xfId="0" applyAlignment="1" applyBorder="1" applyFill="1" applyFont="1">
      <alignment horizontal="center" vertical="center"/>
    </xf>
    <xf borderId="12" fillId="7" fontId="75" numFmtId="0" xfId="0" applyAlignment="1" applyBorder="1" applyFill="1" applyFont="1">
      <alignment horizontal="center" readingOrder="0" shrinkToFit="0" vertical="center" wrapText="1"/>
    </xf>
    <xf borderId="12" fillId="15" fontId="76" numFmtId="0" xfId="0" applyAlignment="1" applyBorder="1" applyFill="1" applyFont="1">
      <alignment horizontal="center" vertical="center"/>
    </xf>
    <xf borderId="12" fillId="15" fontId="76" numFmtId="0" xfId="0" applyAlignment="1" applyBorder="1" applyFill="1" applyFont="1">
      <alignment horizontal="center" readingOrder="0" vertical="center"/>
    </xf>
    <xf borderId="12" fillId="0" fontId="74" numFmtId="0" xfId="0" applyAlignment="1" applyBorder="1" applyFont="1">
      <alignment horizontal="center" readingOrder="0" vertical="center"/>
    </xf>
    <xf borderId="12" fillId="21" fontId="77" numFmtId="0" xfId="0" applyAlignment="1" applyBorder="1" applyFill="1" applyFont="1">
      <alignment horizontal="center" readingOrder="0" vertical="center"/>
    </xf>
    <xf borderId="13" fillId="21" fontId="77" numFmtId="0" xfId="0" applyAlignment="1" applyBorder="1" applyFill="1" applyFont="1">
      <alignment horizontal="center" readingOrder="0" vertical="center"/>
    </xf>
    <xf borderId="20" fillId="0" fontId="3" numFmtId="0" xfId="0" applyAlignment="1" applyBorder="1" applyFont="1">
      <alignment horizontal="center" vertical="center"/>
    </xf>
    <xf borderId="19" fillId="0" fontId="25" numFmtId="0" xfId="0" applyAlignment="1" applyBorder="1" applyFont="1">
      <alignment horizontal="center" readingOrder="0" vertical="center"/>
    </xf>
    <xf borderId="0" fillId="0" fontId="25" numFmtId="0" xfId="0" applyAlignment="1" applyFont="1">
      <alignment horizontal="center" readingOrder="0" vertical="center"/>
    </xf>
    <xf borderId="20" fillId="0" fontId="25" numFmtId="0" xfId="0" applyAlignment="1" applyBorder="1" applyFont="1">
      <alignment horizontal="center" vertical="center"/>
    </xf>
    <xf borderId="9" fillId="0" fontId="5" numFmtId="0" xfId="0" applyAlignment="1" applyBorder="1" applyFont="1">
      <alignment horizontal="center" readingOrder="0" vertical="center"/>
    </xf>
    <xf borderId="12" fillId="4" fontId="34" numFmtId="0" xfId="0" applyAlignment="1" applyBorder="1" applyFill="1" applyFont="1">
      <alignment horizontal="center" vertical="center"/>
    </xf>
    <xf borderId="12" fillId="0" fontId="78" numFmtId="0" xfId="0" applyAlignment="1" applyBorder="1" applyFont="1">
      <alignment horizontal="center" readingOrder="0" vertical="center"/>
    </xf>
    <xf borderId="12" fillId="8" fontId="78" numFmtId="0" xfId="0" applyAlignment="1" applyBorder="1" applyFill="1" applyFont="1">
      <alignment horizontal="center" shrinkToFit="0" vertical="center" wrapText="1"/>
    </xf>
    <xf borderId="13" fillId="4" fontId="34" numFmtId="0" xfId="0" applyAlignment="1" applyBorder="1" applyFill="1" applyFont="1">
      <alignment horizontal="center" vertical="center"/>
    </xf>
    <xf borderId="12" fillId="8" fontId="78" numFmtId="0" xfId="0" applyAlignment="1" applyBorder="1" applyFill="1" applyFont="1">
      <alignment horizontal="center" vertical="center"/>
    </xf>
    <xf borderId="0" fillId="0" fontId="25" numFmtId="0" xfId="0" applyAlignment="1" applyFont="1">
      <alignment horizontal="center" vertical="center"/>
    </xf>
    <xf borderId="12" fillId="0" fontId="30" numFmtId="0" xfId="0" applyAlignment="1" applyBorder="1" applyFont="1">
      <alignment horizontal="center" readingOrder="0" vertical="center"/>
    </xf>
    <xf borderId="12" fillId="0" fontId="79" numFmtId="0" xfId="0" applyAlignment="1" applyBorder="1" applyFont="1">
      <alignment horizontal="center" readingOrder="0" vertical="center"/>
    </xf>
    <xf borderId="12" fillId="0" fontId="78" numFmtId="0" xfId="0" applyAlignment="1" applyBorder="1" applyFont="1">
      <alignment horizontal="center" readingOrder="0" shrinkToFit="0" vertical="center" wrapText="1"/>
    </xf>
    <xf borderId="0" fillId="0" fontId="77" numFmtId="0" xfId="0" applyAlignment="1" applyFont="1">
      <alignment horizontal="center" vertical="center"/>
    </xf>
    <xf borderId="12" fillId="4" fontId="34" numFmtId="0" xfId="0" applyAlignment="1" applyBorder="1" applyFill="1" applyFont="1">
      <alignment horizontal="center" readingOrder="0" vertical="center"/>
    </xf>
    <xf borderId="12" fillId="18" fontId="78" numFmtId="0" xfId="0" applyAlignment="1" applyBorder="1" applyFill="1" applyFont="1">
      <alignment horizontal="center" shrinkToFit="0" vertical="center" wrapText="1"/>
    </xf>
    <xf borderId="0" fillId="0" fontId="21" numFmtId="0" xfId="0" applyAlignment="1" applyFont="1">
      <alignment horizontal="center" readingOrder="0" vertical="center"/>
    </xf>
    <xf borderId="19" fillId="4" fontId="18" numFmtId="0" xfId="0" applyAlignment="1" applyBorder="1" applyFill="1" applyFont="1">
      <alignment horizontal="center" readingOrder="0" vertical="center"/>
    </xf>
    <xf borderId="0" fillId="0" fontId="80" numFmtId="49" xfId="0" applyAlignment="1" applyFont="1" applyNumberFormat="1">
      <alignment horizontal="center" readingOrder="0" vertical="center"/>
    </xf>
    <xf borderId="0" fillId="0" fontId="74" numFmtId="0" xfId="0" applyAlignment="1" applyFont="1">
      <alignment horizontal="center" readingOrder="0" vertical="center"/>
    </xf>
    <xf borderId="0" fillId="0" fontId="74" numFmtId="0" xfId="0" applyAlignment="1" applyFont="1">
      <alignment horizontal="center" readingOrder="0" shrinkToFit="0" vertical="center" wrapText="1"/>
    </xf>
    <xf borderId="0" fillId="18" fontId="74" numFmtId="0" xfId="0" applyAlignment="1" applyFill="1" applyFont="1">
      <alignment horizontal="center" readingOrder="0" shrinkToFit="0" vertical="center" wrapText="1"/>
    </xf>
    <xf borderId="0" fillId="6" fontId="81" numFmtId="0" xfId="0" applyAlignment="1" applyFill="1" applyFont="1">
      <alignment horizontal="center" readingOrder="0" vertical="center"/>
    </xf>
    <xf borderId="0" fillId="0" fontId="3" numFmtId="0" xfId="0" applyAlignment="1" applyFont="1">
      <alignment horizontal="center" readingOrder="0" shrinkToFit="0" vertical="center" wrapText="1"/>
    </xf>
    <xf borderId="19" fillId="0" fontId="76" numFmtId="0" xfId="0" applyAlignment="1" applyBorder="1" applyFont="1">
      <alignment horizontal="center" vertical="center"/>
    </xf>
    <xf borderId="0" fillId="0" fontId="1" numFmtId="0" xfId="0" applyAlignment="1" applyFont="1">
      <alignment horizontal="center" readingOrder="0" shrinkToFit="0" vertical="center" wrapText="1"/>
    </xf>
    <xf borderId="19" fillId="0" fontId="25" numFmtId="0" xfId="0" applyAlignment="1" applyBorder="1" applyFont="1">
      <alignment horizontal="center" vertical="center"/>
    </xf>
    <xf borderId="9" fillId="0" fontId="18" numFmtId="0" xfId="0" applyAlignment="1" applyBorder="1" applyFont="1">
      <alignment horizontal="center" vertical="center"/>
    </xf>
    <xf borderId="17" fillId="0" fontId="3" numFmtId="0" xfId="0" applyAlignment="1" applyBorder="1" applyFont="1">
      <alignment horizontal="center" vertical="center"/>
    </xf>
    <xf borderId="16" fillId="0" fontId="25" numFmtId="0" xfId="0" applyAlignment="1" applyBorder="1" applyFont="1">
      <alignment horizontal="center" vertical="center"/>
    </xf>
    <xf borderId="17" fillId="0" fontId="25" numFmtId="0" xfId="0" applyAlignment="1" applyBorder="1" applyFont="1">
      <alignment horizontal="center" vertical="center"/>
    </xf>
    <xf borderId="18" fillId="0" fontId="25" numFmtId="0" xfId="0" applyAlignment="1" applyBorder="1" applyFont="1">
      <alignment horizontal="center" vertical="center"/>
    </xf>
    <xf borderId="100" fillId="0" fontId="3" numFmtId="0" xfId="0" applyAlignment="1" applyBorder="1" applyFont="1">
      <alignment horizontal="center" vertical="center"/>
    </xf>
    <xf borderId="4" fillId="0" fontId="25" numFmtId="0" xfId="0" applyAlignment="1" applyBorder="1" applyFont="1">
      <alignment horizontal="center" vertical="center"/>
    </xf>
    <xf borderId="101" fillId="0" fontId="3" numFmtId="0" xfId="0" applyAlignment="1" applyBorder="1" applyFont="1">
      <alignment horizontal="center" vertical="center"/>
    </xf>
    <xf borderId="19" fillId="0" fontId="29" numFmtId="0" xfId="0" applyAlignment="1" applyBorder="1" applyFont="1">
      <alignment horizontal="center" vertical="center"/>
    </xf>
    <xf borderId="9" fillId="3" fontId="27" numFmtId="0" xfId="0" applyAlignment="1" applyBorder="1" applyFill="1" applyFont="1">
      <alignment horizontal="center" vertical="center"/>
    </xf>
    <xf borderId="12" fillId="0" fontId="82" numFmtId="0" xfId="0" applyAlignment="1" applyBorder="1" applyFont="1">
      <alignment horizontal="center" readingOrder="0" shrinkToFit="0" vertical="center" wrapText="1"/>
    </xf>
    <xf borderId="9" fillId="0" fontId="83" numFmtId="0" xfId="0" applyAlignment="1" applyBorder="1" applyFont="1">
      <alignment horizontal="center" vertical="center"/>
    </xf>
    <xf borderId="12" fillId="0" fontId="84" numFmtId="0" xfId="0" applyAlignment="1" applyBorder="1" applyFont="1">
      <alignment horizontal="center" shrinkToFit="0" vertical="center" wrapText="1"/>
    </xf>
    <xf borderId="12" fillId="0" fontId="85" numFmtId="0" xfId="0" applyAlignment="1" applyBorder="1" applyFont="1">
      <alignment horizontal="center" readingOrder="0" shrinkToFit="0" vertical="center" wrapText="1"/>
    </xf>
    <xf borderId="12" fillId="0" fontId="86" numFmtId="0" xfId="0" applyAlignment="1" applyBorder="1" applyFont="1">
      <alignment horizontal="left" readingOrder="0" shrinkToFit="0" vertical="top" wrapText="1"/>
    </xf>
    <xf borderId="9" fillId="8" fontId="79" numFmtId="0" xfId="0" applyAlignment="1" applyBorder="1" applyFill="1" applyFont="1">
      <alignment horizontal="center" vertical="bottom"/>
    </xf>
    <xf borderId="12" fillId="8" fontId="79" numFmtId="0" xfId="0" applyAlignment="1" applyBorder="1" applyFill="1" applyFont="1">
      <alignment horizontal="center" vertical="bottom"/>
    </xf>
    <xf borderId="30" fillId="8" fontId="79" numFmtId="0" xfId="0" applyAlignment="1" applyBorder="1" applyFill="1" applyFont="1">
      <alignment horizontal="center" vertical="bottom"/>
    </xf>
    <xf borderId="9" fillId="8" fontId="79" numFmtId="0" xfId="0" applyAlignment="1" applyBorder="1" applyFill="1" applyFont="1">
      <alignment horizontal="center" vertical="bottom"/>
    </xf>
    <xf borderId="34" fillId="8" fontId="79" numFmtId="0" xfId="0" applyAlignment="1" applyBorder="1" applyFill="1" applyFont="1">
      <alignment horizontal="center" vertical="bottom"/>
    </xf>
    <xf borderId="16" fillId="8" fontId="79" numFmtId="0" xfId="0" applyAlignment="1" applyBorder="1" applyFill="1" applyFont="1">
      <alignment horizontal="center" vertical="bottom"/>
    </xf>
    <xf borderId="12" fillId="0" fontId="32" numFmtId="0" xfId="0" applyAlignment="1" applyBorder="1" applyFont="1">
      <alignment horizontal="left" readingOrder="0" shrinkToFit="0" vertical="center" wrapText="1"/>
    </xf>
    <xf borderId="12" fillId="0" fontId="87" numFmtId="0" xfId="0" applyAlignment="1" applyBorder="1" applyFont="1">
      <alignment horizontal="center" readingOrder="0" shrinkToFit="0" vertical="center" wrapText="1"/>
    </xf>
    <xf borderId="12" fillId="0" fontId="33" numFmtId="0" xfId="0" applyAlignment="1" applyBorder="1" applyFont="1">
      <alignment horizontal="left" readingOrder="0" shrinkToFit="0" vertical="center" wrapText="1"/>
    </xf>
    <xf borderId="9" fillId="8" fontId="79" numFmtId="0" xfId="0" applyAlignment="1" applyBorder="1" applyFill="1" applyFont="1">
      <alignment horizontal="center" readingOrder="0" vertical="bottom"/>
    </xf>
    <xf borderId="12" fillId="0" fontId="25" numFmtId="0" xfId="0" applyAlignment="1" applyBorder="1" applyFont="1">
      <alignment horizontal="left" readingOrder="0" shrinkToFit="0" vertical="center" wrapText="1"/>
    </xf>
    <xf borderId="0" fillId="0" fontId="3" numFmtId="0" xfId="0" applyAlignment="1" applyFont="1">
      <alignment shrinkToFit="0" vertical="top" wrapText="1"/>
    </xf>
    <xf borderId="9" fillId="18" fontId="42" numFmtId="1" xfId="0" applyAlignment="1" applyBorder="1" applyFill="1" applyFont="1" applyNumberFormat="1">
      <alignment horizontal="center" readingOrder="0"/>
    </xf>
    <xf borderId="1" fillId="0" fontId="42" numFmtId="1" xfId="0" applyAlignment="1" applyBorder="1" applyFont="1" applyNumberFormat="1">
      <alignment horizontal="center" readingOrder="0"/>
    </xf>
    <xf borderId="9" fillId="18" fontId="3" numFmtId="0" xfId="0" applyAlignment="1" applyBorder="1" applyFill="1" applyFont="1">
      <alignment readingOrder="0"/>
    </xf>
    <xf borderId="1" fillId="22" fontId="19" numFmtId="0" xfId="0" applyAlignment="1" applyBorder="1" applyFill="1" applyFont="1">
      <alignment horizontal="center" vertical="center"/>
    </xf>
    <xf borderId="9" fillId="5" fontId="29" numFmtId="0" xfId="0" applyAlignment="1" applyBorder="1" applyFill="1" applyFont="1">
      <alignment horizontal="center" readingOrder="0" vertical="center"/>
    </xf>
    <xf borderId="12" fillId="0" fontId="23" numFmtId="0" xfId="0" applyAlignment="1" applyBorder="1" applyFont="1">
      <alignment horizontal="left" readingOrder="0" shrinkToFit="0" vertical="top" wrapText="1"/>
    </xf>
    <xf borderId="12" fillId="19" fontId="1" numFmtId="0" xfId="0" applyAlignment="1" applyBorder="1" applyFill="1" applyFont="1">
      <alignment horizontal="center" vertical="center"/>
    </xf>
    <xf borderId="16" fillId="24" fontId="37" numFmtId="0" xfId="0" applyAlignment="1" applyBorder="1" applyFill="1" applyFont="1">
      <alignment horizontal="center" vertical="center"/>
    </xf>
    <xf borderId="9" fillId="22" fontId="1" numFmtId="0" xfId="0" applyAlignment="1" applyBorder="1" applyFill="1" applyFont="1">
      <alignment horizontal="center" readingOrder="0" shrinkToFit="0" vertical="center" wrapText="1"/>
    </xf>
    <xf borderId="12" fillId="0" fontId="42" numFmtId="1" xfId="0" applyAlignment="1" applyBorder="1" applyFont="1" applyNumberFormat="1">
      <alignment horizontal="center" vertical="center"/>
    </xf>
  </cellXfs>
  <cellStyles count="1">
    <cellStyle xfId="0" name="Normal" builtinId="0"/>
  </cellStyles>
  <dxfs count="2">
    <dxf>
      <font/>
      <fill>
        <patternFill patternType="solid">
          <fgColor rgb="FFB7E1CD"/>
          <bgColor rgb="FFB7E1CD"/>
        </patternFill>
      </fill>
      <border/>
    </dxf>
    <dxf>
      <font>
        <color rgb="FFFFFFF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034391534391534424"/>
          <c:y val="0.022388059701492536"/>
          <c:w val="0.8751322751322751"/>
          <c:h val="0.9502487562189055"/>
        </c:manualLayout>
      </c:layout>
      <c:barChart>
        <c:barDir val="col"/>
        <c:grouping val="percentStacked"/>
        <c:ser>
          <c:idx val="0"/>
          <c:order val="0"/>
          <c:spPr>
            <a:solidFill>
              <a:srgbClr val="93C47D"/>
            </a:solidFill>
            <a:ln cmpd="sng">
              <a:noFill/>
            </a:ln>
          </c:spPr>
          <c:invertIfNegative val="0"/>
          <c:dPt>
            <c:idx val="0"/>
          </c:dPt>
          <c:dLbls>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s>
          <c:val>
            <c:numRef>
              <c:f>'空白卡'!$Y$7:$AD$7</c:f>
              <c:numCache/>
            </c:numRef>
          </c:val>
        </c:ser>
        <c:ser>
          <c:idx val="1"/>
          <c:order val="1"/>
          <c:spPr>
            <a:solidFill>
              <a:srgbClr val="FFD966"/>
            </a:solidFill>
            <a:ln cmpd="sng">
              <a:noFill/>
            </a:ln>
          </c:spPr>
          <c:invertIfNegative val="0"/>
          <c:dLbls>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s>
          <c:val>
            <c:numRef>
              <c:f>'空白卡'!$Y$9:$AD$9</c:f>
              <c:numCache/>
            </c:numRef>
          </c:val>
        </c:ser>
        <c:ser>
          <c:idx val="2"/>
          <c:order val="2"/>
          <c:spPr>
            <a:solidFill>
              <a:srgbClr val="F6B26B"/>
            </a:solidFill>
            <a:ln cmpd="sng">
              <a:noFill/>
            </a:ln>
          </c:spPr>
          <c:invertIfNegative val="0"/>
          <c:dLbls>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s>
          <c:val>
            <c:numRef>
              <c:f>'空白卡'!$Y$11:$AD$11</c:f>
              <c:numCache/>
            </c:numRef>
          </c:val>
        </c:ser>
        <c:ser>
          <c:idx val="3"/>
          <c:order val="3"/>
          <c:spPr>
            <a:solidFill>
              <a:srgbClr val="E06666"/>
            </a:solidFill>
            <a:ln cmpd="sng">
              <a:noFill/>
            </a:ln>
          </c:spPr>
          <c:invertIfNegative val="0"/>
          <c:dLbls>
            <c:numFmt formatCode="General" sourceLinked="1"/>
            <c:txPr>
              <a:bodyPr/>
              <a:lstStyle/>
              <a:p>
                <a:pPr lvl="0">
                  <a:defRPr b="1" sz="1200">
                    <a:solidFill>
                      <a:srgbClr val="000000"/>
                    </a:solidFill>
                    <a:latin typeface="Arial"/>
                  </a:defRPr>
                </a:pPr>
              </a:p>
            </c:txPr>
            <c:showLegendKey val="0"/>
            <c:showVal val="1"/>
            <c:showCatName val="0"/>
            <c:showSerName val="0"/>
            <c:showPercent val="0"/>
            <c:showBubbleSize val="0"/>
          </c:dLbls>
          <c:val>
            <c:numRef>
              <c:f>'空白卡'!$Y$13:$AD$13</c:f>
              <c:numCache/>
            </c:numRef>
          </c:val>
        </c:ser>
        <c:overlap val="100"/>
        <c:axId val="1897586816"/>
        <c:axId val="1647400678"/>
      </c:barChart>
      <c:catAx>
        <c:axId val="18975868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47400678"/>
      </c:catAx>
      <c:valAx>
        <c:axId val="164740067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1897586816"/>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190500</xdr:colOff>
      <xdr:row>3</xdr:row>
      <xdr:rowOff>171450</xdr:rowOff>
    </xdr:from>
    <xdr:ext cx="981075" cy="1905000"/>
    <xdr:graphicFrame>
      <xdr:nvGraphicFramePr>
        <xdr:cNvPr id="2" name="Chart 2" title="圖表"/>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15" width="2.63"/>
    <col customWidth="1" hidden="1" min="116" max="205" width="2.63"/>
  </cols>
  <sheetData>
    <row r="1" ht="15.0" customHeight="1">
      <c r="A1" s="35"/>
      <c r="B1" s="36"/>
      <c r="C1" s="36"/>
      <c r="D1" s="36"/>
      <c r="E1" s="36"/>
      <c r="F1" s="37"/>
      <c r="G1" s="38"/>
      <c r="H1" s="38"/>
      <c r="I1" s="38"/>
      <c r="J1" s="38"/>
      <c r="K1" s="38"/>
      <c r="L1" s="38"/>
      <c r="M1" s="36"/>
      <c r="N1" s="36"/>
      <c r="O1" s="36"/>
      <c r="P1" s="36"/>
      <c r="Q1" s="36"/>
      <c r="R1" s="36"/>
      <c r="S1" s="36"/>
      <c r="T1" s="36"/>
      <c r="U1" s="36"/>
      <c r="V1" s="39"/>
      <c r="W1" s="39"/>
      <c r="X1" s="40"/>
      <c r="Y1" s="39"/>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40"/>
      <c r="BD1" s="36"/>
      <c r="BE1" s="36"/>
      <c r="BF1" s="36"/>
      <c r="BG1" s="36"/>
      <c r="BH1" s="36"/>
      <c r="BI1" s="36"/>
      <c r="BJ1" s="36"/>
      <c r="BK1" s="36"/>
      <c r="BL1" s="36"/>
      <c r="BM1" s="36"/>
      <c r="BN1" s="36"/>
      <c r="BO1" s="36"/>
      <c r="BP1" s="36"/>
      <c r="BQ1" s="36"/>
      <c r="BR1" s="41"/>
      <c r="BS1" s="36"/>
      <c r="BT1" s="36"/>
      <c r="BU1" s="36"/>
      <c r="BV1" s="36"/>
      <c r="BW1" s="36"/>
      <c r="BX1" s="36"/>
      <c r="BY1" s="36"/>
      <c r="BZ1" s="36"/>
      <c r="CA1" s="36"/>
      <c r="CB1" s="36"/>
      <c r="CC1" s="36"/>
      <c r="CD1" s="36"/>
      <c r="CE1" s="36"/>
      <c r="CF1" s="36"/>
      <c r="CG1" s="36"/>
      <c r="CH1" s="36"/>
      <c r="CI1" s="36"/>
      <c r="CJ1" s="36"/>
      <c r="CK1" s="36"/>
      <c r="CL1" s="36"/>
      <c r="CM1" s="36"/>
      <c r="CN1" s="40"/>
      <c r="CO1" s="36"/>
      <c r="CP1" s="36"/>
      <c r="CQ1" s="36"/>
      <c r="CR1" s="36"/>
      <c r="CS1" s="36"/>
      <c r="CT1" s="36"/>
      <c r="CU1" s="36"/>
      <c r="CV1" s="36"/>
      <c r="CW1" s="36"/>
      <c r="CX1" s="36"/>
      <c r="CY1" s="36"/>
      <c r="CZ1" s="36"/>
      <c r="DA1" s="36"/>
      <c r="DB1" s="36"/>
      <c r="DC1" s="36"/>
      <c r="DD1" s="36"/>
      <c r="DE1" s="36"/>
      <c r="DF1" s="36"/>
      <c r="DG1" s="36"/>
      <c r="DH1" s="36"/>
      <c r="DI1" s="36"/>
      <c r="DJ1" s="36"/>
      <c r="DK1" s="42"/>
      <c r="DL1" s="43"/>
      <c r="DM1" s="43"/>
      <c r="DN1" s="43"/>
      <c r="DO1" s="43"/>
      <c r="DP1" s="43"/>
      <c r="DQ1" s="43"/>
      <c r="DR1" s="43"/>
      <c r="DS1" s="43"/>
      <c r="DT1" s="43"/>
      <c r="DU1" s="43"/>
      <c r="DV1" s="43"/>
      <c r="DW1" s="43"/>
      <c r="DX1" s="43"/>
      <c r="DY1" s="43"/>
      <c r="DZ1" s="43"/>
      <c r="EA1" s="43"/>
      <c r="EB1" s="43"/>
      <c r="EC1" s="43"/>
      <c r="ED1" s="43"/>
      <c r="EE1" s="43"/>
      <c r="EF1" s="43"/>
      <c r="EG1" s="43"/>
      <c r="EH1" s="43"/>
      <c r="EI1" s="43"/>
      <c r="EJ1" s="43"/>
      <c r="EK1" s="43"/>
      <c r="EL1" s="43"/>
      <c r="EM1" s="43"/>
      <c r="EN1" s="43"/>
      <c r="EO1" s="43"/>
      <c r="EP1" s="43"/>
      <c r="EQ1" s="43"/>
      <c r="ER1" s="43"/>
      <c r="ES1" s="43"/>
      <c r="ET1" s="43"/>
      <c r="EU1" s="43"/>
      <c r="EV1" s="43"/>
      <c r="EW1" s="43"/>
      <c r="EX1" s="43"/>
      <c r="EY1" s="43"/>
      <c r="EZ1" s="43"/>
      <c r="FA1" s="43"/>
      <c r="FB1" s="43"/>
      <c r="FC1" s="43"/>
      <c r="FD1" s="43"/>
      <c r="FE1" s="43"/>
      <c r="FF1" s="43"/>
      <c r="FG1" s="43"/>
      <c r="FH1" s="43"/>
      <c r="FI1" s="43"/>
      <c r="FJ1" s="43"/>
      <c r="FK1" s="43"/>
      <c r="FL1" s="43"/>
      <c r="FM1" s="43"/>
      <c r="FN1" s="43"/>
      <c r="FO1" s="43"/>
      <c r="FP1" s="43"/>
      <c r="FQ1" s="43"/>
      <c r="FR1" s="43"/>
      <c r="FS1" s="43"/>
      <c r="FT1" s="43"/>
      <c r="FU1" s="43"/>
      <c r="FV1" s="43"/>
      <c r="FW1" s="43"/>
      <c r="FX1" s="43"/>
      <c r="FY1" s="43"/>
      <c r="FZ1" s="43"/>
      <c r="GA1" s="43"/>
      <c r="GB1" s="43"/>
      <c r="GC1" s="43"/>
      <c r="GD1" s="43"/>
      <c r="GE1" s="43"/>
      <c r="GF1" s="43"/>
      <c r="GG1" s="43"/>
      <c r="GH1" s="43"/>
      <c r="GI1" s="43"/>
      <c r="GJ1" s="43"/>
      <c r="GK1" s="43"/>
      <c r="GL1" s="43"/>
      <c r="GM1" s="43"/>
      <c r="GN1" s="43"/>
      <c r="GO1" s="43"/>
      <c r="GP1" s="43"/>
      <c r="GQ1" s="43"/>
      <c r="GR1" s="43"/>
      <c r="GS1" s="43"/>
      <c r="GT1" s="43"/>
      <c r="GU1" s="43"/>
      <c r="GV1" s="43"/>
      <c r="GW1" s="43"/>
    </row>
    <row r="2" ht="15.0" customHeight="1">
      <c r="A2" s="44"/>
      <c r="B2" s="45" t="s">
        <v>319</v>
      </c>
      <c r="C2" s="46"/>
      <c r="D2" s="46"/>
      <c r="E2" s="46"/>
      <c r="F2" s="46"/>
      <c r="G2" s="46"/>
      <c r="H2" s="46"/>
      <c r="I2" s="46"/>
      <c r="J2" s="46"/>
      <c r="K2" s="46"/>
      <c r="L2" s="46"/>
      <c r="M2" s="47"/>
      <c r="N2" s="52"/>
      <c r="O2" s="49"/>
      <c r="P2" s="49"/>
      <c r="Q2" s="49"/>
      <c r="R2" s="49"/>
      <c r="S2" s="49"/>
      <c r="T2" s="49"/>
      <c r="U2" s="49"/>
      <c r="V2" s="49"/>
      <c r="W2" s="50"/>
      <c r="X2" s="44"/>
      <c r="Y2" s="51" t="s">
        <v>320</v>
      </c>
      <c r="Z2" s="46"/>
      <c r="AA2" s="46"/>
      <c r="AB2" s="46"/>
      <c r="AC2" s="46"/>
      <c r="AD2" s="46"/>
      <c r="AE2" s="46"/>
      <c r="AF2" s="46"/>
      <c r="AG2" s="46"/>
      <c r="AH2" s="46"/>
      <c r="AI2" s="47"/>
      <c r="AJ2" s="51" t="s">
        <v>321</v>
      </c>
      <c r="AK2" s="46"/>
      <c r="AL2" s="46"/>
      <c r="AM2" s="46"/>
      <c r="AN2" s="46"/>
      <c r="AO2" s="46"/>
      <c r="AP2" s="46"/>
      <c r="AQ2" s="46"/>
      <c r="AR2" s="46"/>
      <c r="AS2" s="47"/>
      <c r="AT2" s="51" t="s">
        <v>322</v>
      </c>
      <c r="AU2" s="46"/>
      <c r="AV2" s="46"/>
      <c r="AW2" s="46"/>
      <c r="AX2" s="46"/>
      <c r="AY2" s="46"/>
      <c r="AZ2" s="46"/>
      <c r="BA2" s="46"/>
      <c r="BB2" s="46"/>
      <c r="BC2" s="46"/>
      <c r="BD2" s="46"/>
      <c r="BE2" s="46"/>
      <c r="BF2" s="46"/>
      <c r="BG2" s="46"/>
      <c r="BH2" s="46"/>
      <c r="BI2" s="46"/>
      <c r="BJ2" s="46"/>
      <c r="BK2" s="46"/>
      <c r="BL2" s="46"/>
      <c r="BM2" s="46"/>
      <c r="BN2" s="46"/>
      <c r="BO2" s="46"/>
      <c r="BP2" s="46"/>
      <c r="BQ2" s="47"/>
      <c r="BR2" s="53"/>
      <c r="BS2" s="54">
        <f>SUM(BS5:BT26)</f>
        <v>0</v>
      </c>
      <c r="BT2" s="47"/>
      <c r="BU2" s="55" t="s">
        <v>2</v>
      </c>
      <c r="BV2" s="46"/>
      <c r="BW2" s="46"/>
      <c r="BX2" s="46"/>
      <c r="BY2" s="46"/>
      <c r="BZ2" s="46"/>
      <c r="CA2" s="46"/>
      <c r="CB2" s="46"/>
      <c r="CC2" s="46"/>
      <c r="CD2" s="46"/>
      <c r="CE2" s="46"/>
      <c r="CF2" s="46"/>
      <c r="CG2" s="46"/>
      <c r="CH2" s="46"/>
      <c r="CI2" s="46"/>
      <c r="CJ2" s="46"/>
      <c r="CK2" s="46"/>
      <c r="CL2" s="46"/>
      <c r="CM2" s="46"/>
      <c r="CN2" s="47"/>
      <c r="CO2" s="54">
        <f> (IF($BS$2&lt;0 , $BS$2*(-1),$BS$2) /2)-SUM($CO$5:$CP$14)</f>
        <v>0</v>
      </c>
      <c r="CP2" s="47"/>
      <c r="CQ2" s="55" t="s">
        <v>1</v>
      </c>
      <c r="CR2" s="46"/>
      <c r="CS2" s="46"/>
      <c r="CT2" s="46"/>
      <c r="CU2" s="46"/>
      <c r="CV2" s="46"/>
      <c r="CW2" s="46"/>
      <c r="CX2" s="46"/>
      <c r="CY2" s="46"/>
      <c r="CZ2" s="46"/>
      <c r="DA2" s="46"/>
      <c r="DB2" s="46"/>
      <c r="DC2" s="46"/>
      <c r="DD2" s="46"/>
      <c r="DE2" s="46"/>
      <c r="DF2" s="46"/>
      <c r="DG2" s="46"/>
      <c r="DH2" s="46"/>
      <c r="DI2" s="46"/>
      <c r="DJ2" s="47"/>
      <c r="DK2" s="5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c r="GJ2" s="43"/>
      <c r="GK2" s="43"/>
      <c r="GL2" s="43"/>
      <c r="GM2" s="43"/>
      <c r="GN2" s="43"/>
      <c r="GO2" s="43"/>
      <c r="GP2" s="43"/>
      <c r="GQ2" s="43"/>
      <c r="GR2" s="43"/>
      <c r="GS2" s="43"/>
      <c r="GT2" s="43"/>
      <c r="GU2" s="43"/>
      <c r="GV2" s="43"/>
      <c r="GW2" s="43"/>
    </row>
    <row r="3" ht="15.0" customHeight="1">
      <c r="A3" s="44"/>
      <c r="B3" s="56"/>
      <c r="C3" s="57"/>
      <c r="D3" s="57"/>
      <c r="E3" s="57"/>
      <c r="F3" s="57"/>
      <c r="G3" s="57"/>
      <c r="H3" s="57"/>
      <c r="I3" s="57"/>
      <c r="J3" s="57"/>
      <c r="K3" s="57"/>
      <c r="L3" s="57"/>
      <c r="M3" s="58"/>
      <c r="N3" s="59"/>
      <c r="W3" s="60"/>
      <c r="X3" s="44"/>
      <c r="Y3" s="61" t="s">
        <v>324</v>
      </c>
      <c r="Z3" s="49"/>
      <c r="AA3" s="49"/>
      <c r="AB3" s="49"/>
      <c r="AC3" s="49"/>
      <c r="AD3" s="50"/>
      <c r="AE3" s="62" t="s">
        <v>325</v>
      </c>
      <c r="AF3" s="49"/>
      <c r="AG3" s="49"/>
      <c r="AH3" s="49"/>
      <c r="AI3" s="50"/>
      <c r="AJ3" s="63" t="str">
        <f>_xlfn.IFS(
AB13&gt;=AB5,"死亡",
AB9+AB11+AB13-AB5&gt;0,"需要轉化傷勢",
AB7+AB9+AB11+AB13&gt;0,"存活"
)</f>
        <v>存活</v>
      </c>
      <c r="AK3" s="49"/>
      <c r="AL3" s="49"/>
      <c r="AM3" s="49"/>
      <c r="AN3" s="49"/>
      <c r="AO3" s="49"/>
      <c r="AP3" s="49"/>
      <c r="AQ3" s="49"/>
      <c r="AR3" s="49"/>
      <c r="AS3" s="50"/>
      <c r="AT3" s="64" t="s">
        <v>326</v>
      </c>
      <c r="AU3" s="49"/>
      <c r="AV3" s="49"/>
      <c r="AW3" s="50"/>
      <c r="AX3" s="65">
        <f>BM40</f>
        <v>4</v>
      </c>
      <c r="AY3" s="49"/>
      <c r="AZ3" s="49"/>
      <c r="BA3" s="50"/>
      <c r="BB3" s="66" t="s">
        <v>327</v>
      </c>
      <c r="BC3" s="49"/>
      <c r="BD3" s="49"/>
      <c r="BE3" s="50"/>
      <c r="BF3" s="68">
        <v>0.0</v>
      </c>
      <c r="BG3" s="49"/>
      <c r="BH3" s="49"/>
      <c r="BI3" s="50"/>
      <c r="BJ3" s="64" t="s">
        <v>328</v>
      </c>
      <c r="BK3" s="49"/>
      <c r="BL3" s="49"/>
      <c r="BM3" s="50"/>
      <c r="BN3" s="65">
        <f>3+X24*2+if((BP54&amp;""="TRUE"),BZ54,0)</f>
        <v>3</v>
      </c>
      <c r="BO3" s="49"/>
      <c r="BP3" s="49"/>
      <c r="BQ3" s="50"/>
      <c r="BR3" s="53"/>
      <c r="BS3" s="69" t="s">
        <v>330</v>
      </c>
      <c r="BT3" s="50"/>
      <c r="BU3" s="69" t="s">
        <v>332</v>
      </c>
      <c r="BV3" s="49"/>
      <c r="BW3" s="49"/>
      <c r="BX3" s="49"/>
      <c r="BY3" s="49"/>
      <c r="BZ3" s="50"/>
      <c r="CA3" s="69" t="s">
        <v>334</v>
      </c>
      <c r="CB3" s="49"/>
      <c r="CC3" s="49"/>
      <c r="CD3" s="49"/>
      <c r="CE3" s="49"/>
      <c r="CF3" s="49"/>
      <c r="CG3" s="49"/>
      <c r="CH3" s="49"/>
      <c r="CI3" s="49"/>
      <c r="CJ3" s="49"/>
      <c r="CK3" s="49"/>
      <c r="CL3" s="49"/>
      <c r="CM3" s="49"/>
      <c r="CN3" s="50"/>
      <c r="CO3" s="69" t="s">
        <v>337</v>
      </c>
      <c r="CP3" s="50"/>
      <c r="CQ3" s="69" t="s">
        <v>338</v>
      </c>
      <c r="CR3" s="49"/>
      <c r="CS3" s="49"/>
      <c r="CT3" s="49"/>
      <c r="CU3" s="49"/>
      <c r="CV3" s="50"/>
      <c r="CW3" s="69" t="s">
        <v>340</v>
      </c>
      <c r="CX3" s="49"/>
      <c r="CY3" s="49"/>
      <c r="CZ3" s="49"/>
      <c r="DA3" s="49"/>
      <c r="DB3" s="49"/>
      <c r="DC3" s="49"/>
      <c r="DD3" s="49"/>
      <c r="DE3" s="49"/>
      <c r="DF3" s="49"/>
      <c r="DG3" s="49"/>
      <c r="DH3" s="49"/>
      <c r="DI3" s="49"/>
      <c r="DJ3" s="50"/>
      <c r="DK3" s="53"/>
      <c r="DL3" s="43"/>
      <c r="DM3" s="43"/>
      <c r="DN3" s="43"/>
      <c r="DO3" s="43"/>
      <c r="DP3" s="43"/>
      <c r="DQ3" s="43"/>
      <c r="DR3" s="43"/>
      <c r="DS3" s="43"/>
      <c r="DT3" s="43"/>
      <c r="DU3" s="43"/>
      <c r="DV3" s="43"/>
      <c r="DW3" s="43"/>
      <c r="DX3" s="43"/>
      <c r="DY3" s="43"/>
      <c r="DZ3" s="43"/>
      <c r="EA3" s="43"/>
      <c r="EB3" s="43"/>
      <c r="EC3" s="43"/>
      <c r="ED3" s="43"/>
      <c r="EE3" s="43"/>
      <c r="EF3" s="43"/>
      <c r="EG3" s="43"/>
      <c r="EH3" s="43"/>
      <c r="EI3" s="43"/>
      <c r="EJ3" s="43"/>
      <c r="EK3" s="43"/>
      <c r="EL3" s="43"/>
      <c r="EM3" s="43"/>
      <c r="EN3" s="43"/>
      <c r="EO3" s="43"/>
      <c r="EP3" s="43"/>
      <c r="EQ3" s="43"/>
      <c r="ER3" s="43"/>
      <c r="ES3" s="43"/>
      <c r="ET3" s="43"/>
      <c r="EU3" s="43"/>
      <c r="EV3" s="43"/>
      <c r="EW3" s="43"/>
      <c r="EX3" s="43"/>
      <c r="EY3" s="43"/>
      <c r="EZ3" s="43"/>
      <c r="FA3" s="43"/>
      <c r="FB3" s="43"/>
      <c r="FC3" s="43"/>
      <c r="FD3" s="43"/>
      <c r="FE3" s="43"/>
      <c r="FF3" s="43"/>
      <c r="FG3" s="43"/>
      <c r="FH3" s="43"/>
      <c r="FI3" s="43"/>
      <c r="FJ3" s="43"/>
      <c r="FK3" s="43"/>
      <c r="FL3" s="43"/>
      <c r="FM3" s="43"/>
      <c r="FN3" s="43"/>
      <c r="FO3" s="43"/>
      <c r="FP3" s="43"/>
      <c r="FQ3" s="43"/>
      <c r="FR3" s="43"/>
      <c r="FS3" s="43"/>
      <c r="FT3" s="43"/>
      <c r="FU3" s="43"/>
      <c r="FV3" s="43"/>
      <c r="FW3" s="43"/>
      <c r="FX3" s="43"/>
      <c r="FY3" s="43"/>
      <c r="FZ3" s="43"/>
      <c r="GA3" s="43"/>
      <c r="GB3" s="43"/>
      <c r="GC3" s="43"/>
      <c r="GD3" s="43"/>
      <c r="GE3" s="43"/>
      <c r="GF3" s="43"/>
      <c r="GG3" s="43"/>
      <c r="GH3" s="43"/>
      <c r="GI3" s="43"/>
      <c r="GJ3" s="43"/>
      <c r="GK3" s="43"/>
      <c r="GL3" s="43"/>
      <c r="GM3" s="43"/>
      <c r="GN3" s="43"/>
      <c r="GO3" s="43"/>
      <c r="GP3" s="43"/>
      <c r="GQ3" s="43"/>
      <c r="GR3" s="43"/>
      <c r="GS3" s="43"/>
      <c r="GT3" s="43"/>
      <c r="GU3" s="43"/>
      <c r="GV3" s="43"/>
      <c r="GW3" s="43"/>
    </row>
    <row r="4" ht="15.0" customHeight="1">
      <c r="A4" s="44"/>
      <c r="B4" s="45" t="s">
        <v>341</v>
      </c>
      <c r="C4" s="46"/>
      <c r="D4" s="46"/>
      <c r="E4" s="46"/>
      <c r="F4" s="46"/>
      <c r="G4" s="46"/>
      <c r="H4" s="47"/>
      <c r="I4" s="45" t="s">
        <v>342</v>
      </c>
      <c r="J4" s="46"/>
      <c r="K4" s="46"/>
      <c r="L4" s="46"/>
      <c r="M4" s="47"/>
      <c r="N4" s="59"/>
      <c r="W4" s="60"/>
      <c r="X4" s="44"/>
      <c r="Y4" s="70"/>
      <c r="Z4" s="57"/>
      <c r="AA4" s="57"/>
      <c r="AB4" s="57"/>
      <c r="AC4" s="57"/>
      <c r="AD4" s="58"/>
      <c r="AE4" s="70"/>
      <c r="AF4" s="57"/>
      <c r="AG4" s="57"/>
      <c r="AH4" s="57"/>
      <c r="AI4" s="58"/>
      <c r="AJ4" s="70"/>
      <c r="AK4" s="57"/>
      <c r="AL4" s="57"/>
      <c r="AM4" s="57"/>
      <c r="AN4" s="57"/>
      <c r="AO4" s="57"/>
      <c r="AP4" s="57"/>
      <c r="AQ4" s="57"/>
      <c r="AR4" s="57"/>
      <c r="AS4" s="58"/>
      <c r="AT4" s="70"/>
      <c r="AU4" s="57"/>
      <c r="AV4" s="57"/>
      <c r="AW4" s="58"/>
      <c r="AX4" s="70"/>
      <c r="AY4" s="57"/>
      <c r="AZ4" s="57"/>
      <c r="BA4" s="58"/>
      <c r="BB4" s="70"/>
      <c r="BC4" s="57"/>
      <c r="BD4" s="57"/>
      <c r="BE4" s="58"/>
      <c r="BF4" s="70"/>
      <c r="BG4" s="57"/>
      <c r="BH4" s="57"/>
      <c r="BI4" s="58"/>
      <c r="BJ4" s="70"/>
      <c r="BK4" s="57"/>
      <c r="BL4" s="57"/>
      <c r="BM4" s="58"/>
      <c r="BN4" s="70"/>
      <c r="BO4" s="57"/>
      <c r="BP4" s="57"/>
      <c r="BQ4" s="58"/>
      <c r="BR4" s="53"/>
      <c r="BS4" s="70"/>
      <c r="BT4" s="58"/>
      <c r="BU4" s="70"/>
      <c r="BV4" s="57"/>
      <c r="BW4" s="57"/>
      <c r="BX4" s="57"/>
      <c r="BY4" s="57"/>
      <c r="BZ4" s="58"/>
      <c r="CA4" s="70"/>
      <c r="CB4" s="57"/>
      <c r="CC4" s="57"/>
      <c r="CD4" s="57"/>
      <c r="CE4" s="57"/>
      <c r="CF4" s="57"/>
      <c r="CG4" s="57"/>
      <c r="CH4" s="57"/>
      <c r="CI4" s="57"/>
      <c r="CJ4" s="57"/>
      <c r="CK4" s="57"/>
      <c r="CL4" s="57"/>
      <c r="CM4" s="57"/>
      <c r="CN4" s="58"/>
      <c r="CO4" s="70"/>
      <c r="CP4" s="58"/>
      <c r="CQ4" s="70"/>
      <c r="CR4" s="57"/>
      <c r="CS4" s="57"/>
      <c r="CT4" s="57"/>
      <c r="CU4" s="57"/>
      <c r="CV4" s="58"/>
      <c r="CW4" s="70"/>
      <c r="CX4" s="57"/>
      <c r="CY4" s="57"/>
      <c r="CZ4" s="57"/>
      <c r="DA4" s="57"/>
      <c r="DB4" s="57"/>
      <c r="DC4" s="57"/>
      <c r="DD4" s="57"/>
      <c r="DE4" s="57"/>
      <c r="DF4" s="57"/>
      <c r="DG4" s="57"/>
      <c r="DH4" s="57"/>
      <c r="DI4" s="57"/>
      <c r="DJ4" s="58"/>
      <c r="DK4" s="53"/>
      <c r="DL4" s="43"/>
      <c r="DM4" s="43"/>
      <c r="DN4" s="43"/>
      <c r="DO4" s="43"/>
      <c r="DP4" s="43"/>
      <c r="DQ4" s="43"/>
      <c r="DR4" s="43"/>
      <c r="DS4" s="43"/>
      <c r="DT4" s="43"/>
      <c r="DU4" s="43"/>
      <c r="DV4" s="43"/>
      <c r="DW4" s="43"/>
      <c r="DX4" s="43"/>
      <c r="DY4" s="43"/>
      <c r="DZ4" s="43"/>
      <c r="EA4" s="43"/>
      <c r="EB4" s="43"/>
      <c r="EC4" s="43"/>
      <c r="ED4" s="43"/>
      <c r="EE4" s="43"/>
      <c r="EF4" s="43"/>
      <c r="EG4" s="43"/>
      <c r="EH4" s="43"/>
      <c r="EI4" s="43"/>
      <c r="EJ4" s="43"/>
      <c r="EK4" s="43"/>
      <c r="EL4" s="43"/>
      <c r="EM4" s="43"/>
      <c r="EN4" s="43"/>
      <c r="EO4" s="43"/>
      <c r="EP4" s="43"/>
      <c r="EQ4" s="43"/>
      <c r="ER4" s="43"/>
      <c r="ES4" s="43"/>
      <c r="ET4" s="43"/>
      <c r="EU4" s="43"/>
      <c r="EV4" s="43"/>
      <c r="EW4" s="43"/>
      <c r="EX4" s="43"/>
      <c r="EY4" s="43"/>
      <c r="EZ4" s="43"/>
      <c r="FA4" s="43"/>
      <c r="FB4" s="43"/>
      <c r="FC4" s="43"/>
      <c r="FD4" s="43"/>
      <c r="FE4" s="43"/>
      <c r="FF4" s="43"/>
      <c r="FG4" s="43"/>
      <c r="FH4" s="43"/>
      <c r="FI4" s="43"/>
      <c r="FJ4" s="43"/>
      <c r="FK4" s="43"/>
      <c r="FL4" s="43"/>
      <c r="FM4" s="43"/>
      <c r="FN4" s="43"/>
      <c r="FO4" s="43"/>
      <c r="FP4" s="43"/>
      <c r="FQ4" s="43"/>
      <c r="FR4" s="43"/>
      <c r="FS4" s="43"/>
      <c r="FT4" s="43"/>
      <c r="FU4" s="43"/>
      <c r="FV4" s="43"/>
      <c r="FW4" s="43"/>
      <c r="FX4" s="43"/>
      <c r="FY4" s="43"/>
      <c r="FZ4" s="43"/>
      <c r="GA4" s="43"/>
      <c r="GB4" s="43"/>
      <c r="GC4" s="43"/>
      <c r="GD4" s="43"/>
      <c r="GE4" s="43"/>
      <c r="GF4" s="43"/>
      <c r="GG4" s="43"/>
      <c r="GH4" s="43"/>
      <c r="GI4" s="43"/>
      <c r="GJ4" s="43"/>
      <c r="GK4" s="43"/>
      <c r="GL4" s="43"/>
      <c r="GM4" s="43"/>
      <c r="GN4" s="43"/>
      <c r="GO4" s="43"/>
      <c r="GP4" s="43"/>
      <c r="GQ4" s="43"/>
      <c r="GR4" s="43"/>
      <c r="GS4" s="43"/>
      <c r="GT4" s="43"/>
      <c r="GU4" s="43"/>
      <c r="GV4" s="43"/>
      <c r="GW4" s="43"/>
    </row>
    <row r="5" ht="15.0" customHeight="1">
      <c r="A5" s="44"/>
      <c r="B5" s="71"/>
      <c r="C5" s="46"/>
      <c r="D5" s="46"/>
      <c r="E5" s="46"/>
      <c r="F5" s="46"/>
      <c r="G5" s="46"/>
      <c r="H5" s="47"/>
      <c r="I5" s="71"/>
      <c r="J5" s="46"/>
      <c r="K5" s="46"/>
      <c r="L5" s="46"/>
      <c r="M5" s="47"/>
      <c r="N5" s="59"/>
      <c r="W5" s="60"/>
      <c r="X5" s="44"/>
      <c r="Y5" s="64" t="s">
        <v>346</v>
      </c>
      <c r="Z5" s="49"/>
      <c r="AA5" s="50"/>
      <c r="AB5" s="72">
        <f>BM37</f>
        <v>7</v>
      </c>
      <c r="AC5" s="49"/>
      <c r="AD5" s="50"/>
      <c r="AE5" s="73"/>
      <c r="AF5" s="49"/>
      <c r="AG5" s="49"/>
      <c r="AH5" s="49"/>
      <c r="AI5" s="50"/>
      <c r="AJ5" s="51" t="s">
        <v>347</v>
      </c>
      <c r="AK5" s="46"/>
      <c r="AL5" s="46"/>
      <c r="AM5" s="46"/>
      <c r="AN5" s="46"/>
      <c r="AO5" s="46"/>
      <c r="AP5" s="46"/>
      <c r="AQ5" s="46"/>
      <c r="AR5" s="46"/>
      <c r="AS5" s="46"/>
      <c r="AT5" s="46"/>
      <c r="AU5" s="46"/>
      <c r="AV5" s="46"/>
      <c r="AW5" s="46"/>
      <c r="AX5" s="46"/>
      <c r="AY5" s="74"/>
      <c r="AZ5" s="75" t="s">
        <v>349</v>
      </c>
      <c r="BA5" s="46"/>
      <c r="BB5" s="46"/>
      <c r="BC5" s="46"/>
      <c r="BD5" s="46"/>
      <c r="BE5" s="46"/>
      <c r="BF5" s="46"/>
      <c r="BG5" s="46"/>
      <c r="BH5" s="46"/>
      <c r="BI5" s="46"/>
      <c r="BJ5" s="46"/>
      <c r="BK5" s="46"/>
      <c r="BL5" s="46"/>
      <c r="BM5" s="46"/>
      <c r="BN5" s="46"/>
      <c r="BO5" s="46"/>
      <c r="BP5" s="46"/>
      <c r="BQ5" s="47"/>
      <c r="BR5" s="53"/>
      <c r="BS5" s="76"/>
      <c r="BT5" s="50"/>
      <c r="BU5" s="77" t="s">
        <v>33</v>
      </c>
      <c r="BV5" s="46"/>
      <c r="BW5" s="46"/>
      <c r="BX5" s="46"/>
      <c r="BY5" s="46"/>
      <c r="BZ5" s="47"/>
      <c r="CA5" s="78" t="str">
        <f>VLOOKUP(BU5,'缺陷 3xx'!B:D,3,FALSE)</f>
        <v>描述：無論是由於邪惡的魔法、疾病或神明的懲罰，你身上有一處先天的畸形，嚴重影響你的身體活動。
 你的敏捷相關檢定承受2DP減值。</v>
      </c>
      <c r="CB5" s="49"/>
      <c r="CC5" s="49"/>
      <c r="CD5" s="49"/>
      <c r="CE5" s="49"/>
      <c r="CF5" s="49"/>
      <c r="CG5" s="49"/>
      <c r="CH5" s="49"/>
      <c r="CI5" s="49"/>
      <c r="CJ5" s="49"/>
      <c r="CK5" s="49"/>
      <c r="CL5" s="49"/>
      <c r="CM5" s="49"/>
      <c r="CN5" s="50"/>
      <c r="CO5" s="76"/>
      <c r="CP5" s="50"/>
      <c r="CQ5" s="79" t="s">
        <v>5</v>
      </c>
      <c r="CR5" s="46"/>
      <c r="CS5" s="46"/>
      <c r="CT5" s="46"/>
      <c r="CU5" s="46"/>
      <c r="CV5" s="47"/>
      <c r="CW5" s="80" t="str">
        <f>VLOOKUP(CQ5,'天賦 3xx'!B:D,3,FALSE)</f>
        <v>-</v>
      </c>
      <c r="CX5" s="49"/>
      <c r="CY5" s="49"/>
      <c r="CZ5" s="49"/>
      <c r="DA5" s="49"/>
      <c r="DB5" s="49"/>
      <c r="DC5" s="49"/>
      <c r="DD5" s="49"/>
      <c r="DE5" s="49"/>
      <c r="DF5" s="49"/>
      <c r="DG5" s="49"/>
      <c r="DH5" s="49"/>
      <c r="DI5" s="49"/>
      <c r="DJ5" s="50"/>
      <c r="DK5" s="5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c r="EY5" s="43"/>
      <c r="EZ5" s="43"/>
      <c r="FA5" s="43"/>
      <c r="FB5" s="43"/>
      <c r="FC5" s="43"/>
      <c r="FD5" s="43"/>
      <c r="FE5" s="43"/>
      <c r="FF5" s="43"/>
      <c r="FG5" s="43"/>
      <c r="FH5" s="43"/>
      <c r="FI5" s="43"/>
      <c r="FJ5" s="43"/>
      <c r="FK5" s="43"/>
      <c r="FL5" s="43"/>
      <c r="FM5" s="43"/>
      <c r="FN5" s="43"/>
      <c r="FO5" s="43"/>
      <c r="FP5" s="43"/>
      <c r="FQ5" s="43"/>
      <c r="FR5" s="43"/>
      <c r="FS5" s="43"/>
      <c r="FT5" s="43"/>
      <c r="FU5" s="43"/>
      <c r="FV5" s="43"/>
      <c r="FW5" s="43"/>
      <c r="FX5" s="43"/>
      <c r="FY5" s="43"/>
      <c r="FZ5" s="43"/>
      <c r="GA5" s="43"/>
      <c r="GB5" s="43"/>
      <c r="GC5" s="43"/>
      <c r="GD5" s="43"/>
      <c r="GE5" s="43"/>
      <c r="GF5" s="43"/>
      <c r="GG5" s="43"/>
      <c r="GH5" s="43"/>
      <c r="GI5" s="43"/>
      <c r="GJ5" s="43"/>
      <c r="GK5" s="43"/>
      <c r="GL5" s="43"/>
      <c r="GM5" s="43"/>
      <c r="GN5" s="43"/>
      <c r="GO5" s="43"/>
      <c r="GP5" s="43"/>
      <c r="GQ5" s="43"/>
      <c r="GR5" s="43"/>
      <c r="GS5" s="43"/>
      <c r="GT5" s="43"/>
      <c r="GU5" s="43"/>
      <c r="GV5" s="43"/>
      <c r="GW5" s="43"/>
    </row>
    <row r="6" ht="15.0" customHeight="1">
      <c r="A6" s="44"/>
      <c r="B6" s="45" t="s">
        <v>356</v>
      </c>
      <c r="C6" s="46"/>
      <c r="D6" s="46"/>
      <c r="E6" s="46"/>
      <c r="F6" s="47"/>
      <c r="G6" s="45" t="s">
        <v>357</v>
      </c>
      <c r="H6" s="46"/>
      <c r="I6" s="46"/>
      <c r="J6" s="47"/>
      <c r="K6" s="45" t="s">
        <v>358</v>
      </c>
      <c r="L6" s="46"/>
      <c r="M6" s="47"/>
      <c r="N6" s="59"/>
      <c r="W6" s="60"/>
      <c r="X6" s="44"/>
      <c r="Y6" s="70"/>
      <c r="Z6" s="57"/>
      <c r="AA6" s="58"/>
      <c r="AB6" s="70"/>
      <c r="AC6" s="57"/>
      <c r="AD6" s="58"/>
      <c r="AE6" s="59"/>
      <c r="AI6" s="60"/>
      <c r="AJ6" s="81" t="s">
        <v>359</v>
      </c>
      <c r="AK6" s="46"/>
      <c r="AL6" s="46"/>
      <c r="AM6" s="46"/>
      <c r="AN6" s="47"/>
      <c r="AO6" s="82" t="s">
        <v>360</v>
      </c>
      <c r="AP6" s="46"/>
      <c r="AQ6" s="47"/>
      <c r="AR6" s="83" t="s">
        <v>361</v>
      </c>
      <c r="AS6" s="46"/>
      <c r="AT6" s="47"/>
      <c r="AU6" s="81" t="s">
        <v>362</v>
      </c>
      <c r="AV6" s="46"/>
      <c r="AW6" s="46"/>
      <c r="AX6" s="46"/>
      <c r="AY6" s="84"/>
      <c r="AZ6" s="85" t="s">
        <v>363</v>
      </c>
      <c r="BA6" s="46"/>
      <c r="BB6" s="46"/>
      <c r="BC6" s="47"/>
      <c r="BD6" s="86" t="s">
        <v>364</v>
      </c>
      <c r="BE6" s="46"/>
      <c r="BF6" s="46"/>
      <c r="BG6" s="46"/>
      <c r="BH6" s="46"/>
      <c r="BI6" s="46"/>
      <c r="BJ6" s="46"/>
      <c r="BK6" s="47"/>
      <c r="BL6" s="87" t="s">
        <v>365</v>
      </c>
      <c r="BM6" s="46"/>
      <c r="BN6" s="46"/>
      <c r="BO6" s="46"/>
      <c r="BP6" s="46"/>
      <c r="BQ6" s="47"/>
      <c r="BR6" s="53"/>
      <c r="BS6" s="70"/>
      <c r="BT6" s="58"/>
      <c r="BU6" s="88" t="s">
        <v>362</v>
      </c>
      <c r="BV6" s="46"/>
      <c r="BW6" s="46"/>
      <c r="BX6" s="46"/>
      <c r="BY6" s="46"/>
      <c r="BZ6" s="47"/>
      <c r="CA6" s="70"/>
      <c r="CB6" s="57"/>
      <c r="CC6" s="57"/>
      <c r="CD6" s="57"/>
      <c r="CE6" s="57"/>
      <c r="CF6" s="57"/>
      <c r="CG6" s="57"/>
      <c r="CH6" s="57"/>
      <c r="CI6" s="57"/>
      <c r="CJ6" s="57"/>
      <c r="CK6" s="57"/>
      <c r="CL6" s="57"/>
      <c r="CM6" s="57"/>
      <c r="CN6" s="58"/>
      <c r="CO6" s="70"/>
      <c r="CP6" s="58"/>
      <c r="CQ6" s="88" t="s">
        <v>362</v>
      </c>
      <c r="CR6" s="46"/>
      <c r="CS6" s="46"/>
      <c r="CT6" s="46"/>
      <c r="CU6" s="46"/>
      <c r="CV6" s="47"/>
      <c r="CW6" s="70"/>
      <c r="CX6" s="57"/>
      <c r="CY6" s="57"/>
      <c r="CZ6" s="57"/>
      <c r="DA6" s="57"/>
      <c r="DB6" s="57"/>
      <c r="DC6" s="57"/>
      <c r="DD6" s="57"/>
      <c r="DE6" s="57"/>
      <c r="DF6" s="57"/>
      <c r="DG6" s="57"/>
      <c r="DH6" s="57"/>
      <c r="DI6" s="57"/>
      <c r="DJ6" s="58"/>
      <c r="DK6" s="53"/>
      <c r="DL6" s="43"/>
      <c r="DM6" s="43"/>
      <c r="DN6" s="43"/>
      <c r="DO6" s="43"/>
      <c r="DP6" s="43"/>
      <c r="DQ6" s="43"/>
      <c r="DR6" s="43"/>
      <c r="DS6" s="43"/>
      <c r="DT6" s="43"/>
      <c r="DU6" s="43"/>
      <c r="DV6" s="43"/>
      <c r="DW6" s="43"/>
      <c r="DX6" s="43"/>
      <c r="DY6" s="43"/>
      <c r="DZ6" s="43"/>
      <c r="EA6" s="43"/>
      <c r="EB6" s="43"/>
      <c r="EC6" s="43"/>
      <c r="ED6" s="43"/>
      <c r="EE6" s="43"/>
      <c r="EF6" s="43"/>
      <c r="EG6" s="43"/>
      <c r="EH6" s="43"/>
      <c r="EI6" s="43"/>
      <c r="EJ6" s="43"/>
      <c r="EK6" s="43"/>
      <c r="EL6" s="43"/>
      <c r="EM6" s="43"/>
      <c r="EN6" s="43"/>
      <c r="EO6" s="43"/>
      <c r="EP6" s="43"/>
      <c r="EQ6" s="43"/>
      <c r="ER6" s="43"/>
      <c r="ES6" s="43"/>
      <c r="ET6" s="43"/>
      <c r="EU6" s="43"/>
      <c r="EV6" s="43"/>
      <c r="EW6" s="43"/>
      <c r="EX6" s="43"/>
      <c r="EY6" s="43"/>
      <c r="EZ6" s="43"/>
      <c r="FA6" s="43"/>
      <c r="FB6" s="43"/>
      <c r="FC6" s="43"/>
      <c r="FD6" s="43"/>
      <c r="FE6" s="43"/>
      <c r="FF6" s="43"/>
      <c r="FG6" s="43"/>
      <c r="FH6" s="43"/>
      <c r="FI6" s="43"/>
      <c r="FJ6" s="43"/>
      <c r="FK6" s="43"/>
      <c r="FL6" s="43"/>
      <c r="FM6" s="43"/>
      <c r="FN6" s="43"/>
      <c r="FO6" s="43"/>
      <c r="FP6" s="43"/>
      <c r="FQ6" s="43"/>
      <c r="FR6" s="43"/>
      <c r="FS6" s="43"/>
      <c r="FT6" s="43"/>
      <c r="FU6" s="43"/>
      <c r="FV6" s="43"/>
      <c r="FW6" s="43"/>
      <c r="FX6" s="43"/>
      <c r="FY6" s="43"/>
      <c r="FZ6" s="43"/>
      <c r="GA6" s="43"/>
      <c r="GB6" s="43"/>
      <c r="GC6" s="43"/>
      <c r="GD6" s="43"/>
      <c r="GE6" s="43"/>
      <c r="GF6" s="43"/>
      <c r="GG6" s="43"/>
      <c r="GH6" s="43"/>
      <c r="GI6" s="43"/>
      <c r="GJ6" s="43"/>
      <c r="GK6" s="43"/>
      <c r="GL6" s="43"/>
      <c r="GM6" s="43"/>
      <c r="GN6" s="43"/>
      <c r="GO6" s="43"/>
      <c r="GP6" s="43"/>
      <c r="GQ6" s="43"/>
      <c r="GR6" s="43"/>
      <c r="GS6" s="43"/>
      <c r="GT6" s="43"/>
      <c r="GU6" s="43"/>
      <c r="GV6" s="43"/>
      <c r="GW6" s="43"/>
    </row>
    <row r="7" ht="15.0" customHeight="1">
      <c r="A7" s="44"/>
      <c r="B7" s="71" t="s">
        <v>371</v>
      </c>
      <c r="C7" s="46"/>
      <c r="D7" s="46"/>
      <c r="E7" s="46"/>
      <c r="F7" s="47"/>
      <c r="G7" s="71" t="s">
        <v>373</v>
      </c>
      <c r="H7" s="46"/>
      <c r="I7" s="46"/>
      <c r="J7" s="47"/>
      <c r="K7" s="71"/>
      <c r="L7" s="46"/>
      <c r="M7" s="47"/>
      <c r="N7" s="59"/>
      <c r="W7" s="60"/>
      <c r="X7" s="44"/>
      <c r="Y7" s="64" t="s">
        <v>368</v>
      </c>
      <c r="Z7" s="49"/>
      <c r="AA7" s="50"/>
      <c r="AB7" s="89">
        <f>AB5-AB9-AB11-AB13</f>
        <v>7</v>
      </c>
      <c r="AC7" s="49"/>
      <c r="AD7" s="50"/>
      <c r="AE7" s="59"/>
      <c r="AI7" s="60"/>
      <c r="AJ7" s="90"/>
      <c r="AK7" s="46"/>
      <c r="AL7" s="46"/>
      <c r="AM7" s="46"/>
      <c r="AN7" s="47"/>
      <c r="AO7" s="91"/>
      <c r="AP7" s="46"/>
      <c r="AQ7" s="47"/>
      <c r="AR7" s="90"/>
      <c r="AS7" s="46"/>
      <c r="AT7" s="47"/>
      <c r="AU7" s="90"/>
      <c r="AV7" s="46"/>
      <c r="AW7" s="46"/>
      <c r="AX7" s="46"/>
      <c r="AY7" s="84"/>
      <c r="AZ7" s="92"/>
      <c r="BA7" s="46"/>
      <c r="BB7" s="46"/>
      <c r="BC7" s="47"/>
      <c r="BD7" s="93"/>
      <c r="BE7" s="46"/>
      <c r="BF7" s="46"/>
      <c r="BG7" s="47"/>
      <c r="BH7" s="93"/>
      <c r="BI7" s="46"/>
      <c r="BJ7" s="46"/>
      <c r="BK7" s="47"/>
      <c r="BL7" s="94"/>
      <c r="BM7" s="47"/>
      <c r="BN7" s="95" t="str">
        <f t="shared" ref="BN7:BN14" si="1">"/"&amp;max(vlookup(BD7,$C$18:$Z$26,20,false),vlookup(BH7,$C$18:$Z$26,20,false))*(max(vlookup(BD7,$C$18:$Z$26,22,false),vlookup(BH7,$C$18:$Z$26,22,false))+1)&amp;"/"&amp;sum(vlookup(BD7,$C$18:$Z$26,20,false),vlookup(BH7,$C$18:$Z$26,20,false))*(sum(vlookup(BD7,$C$18:$Z$26,22,false),vlookup(BH7,$C$18:$Z$26,22,false))+1)</f>
        <v>#N/A</v>
      </c>
      <c r="BO7" s="46"/>
      <c r="BP7" s="46"/>
      <c r="BQ7" s="47"/>
      <c r="BR7" s="53"/>
      <c r="BS7" s="76"/>
      <c r="BT7" s="50"/>
      <c r="BU7" s="77" t="s">
        <v>5</v>
      </c>
      <c r="BV7" s="46"/>
      <c r="BW7" s="46"/>
      <c r="BX7" s="46"/>
      <c r="BY7" s="46"/>
      <c r="BZ7" s="47"/>
      <c r="CA7" s="78" t="str">
        <f>VLOOKUP(BU7,'缺陷 3xx'!B:D,3,FALSE)</f>
        <v>-</v>
      </c>
      <c r="CB7" s="49"/>
      <c r="CC7" s="49"/>
      <c r="CD7" s="49"/>
      <c r="CE7" s="49"/>
      <c r="CF7" s="49"/>
      <c r="CG7" s="49"/>
      <c r="CH7" s="49"/>
      <c r="CI7" s="49"/>
      <c r="CJ7" s="49"/>
      <c r="CK7" s="49"/>
      <c r="CL7" s="49"/>
      <c r="CM7" s="49"/>
      <c r="CN7" s="50"/>
      <c r="CO7" s="76"/>
      <c r="CP7" s="50"/>
      <c r="CQ7" s="79" t="s">
        <v>5</v>
      </c>
      <c r="CR7" s="46"/>
      <c r="CS7" s="46"/>
      <c r="CT7" s="46"/>
      <c r="CU7" s="46"/>
      <c r="CV7" s="47"/>
      <c r="CW7" s="80" t="str">
        <f>VLOOKUP(CQ7,'天賦 3xx'!B:D,3,FALSE)</f>
        <v>-</v>
      </c>
      <c r="CX7" s="49"/>
      <c r="CY7" s="49"/>
      <c r="CZ7" s="49"/>
      <c r="DA7" s="49"/>
      <c r="DB7" s="49"/>
      <c r="DC7" s="49"/>
      <c r="DD7" s="49"/>
      <c r="DE7" s="49"/>
      <c r="DF7" s="49"/>
      <c r="DG7" s="49"/>
      <c r="DH7" s="49"/>
      <c r="DI7" s="49"/>
      <c r="DJ7" s="50"/>
      <c r="DK7" s="53"/>
      <c r="DL7" s="43"/>
      <c r="DM7" s="43"/>
      <c r="DN7" s="43"/>
      <c r="DO7" s="43"/>
      <c r="DP7" s="43"/>
      <c r="DQ7" s="43"/>
      <c r="DR7" s="43"/>
      <c r="DS7" s="43"/>
      <c r="DT7" s="43"/>
      <c r="DU7" s="43"/>
      <c r="DV7" s="43"/>
      <c r="DW7" s="43"/>
      <c r="DX7" s="43"/>
      <c r="DY7" s="43"/>
      <c r="DZ7" s="43"/>
      <c r="EA7" s="43"/>
      <c r="EB7" s="43"/>
      <c r="EC7" s="43"/>
      <c r="ED7" s="43"/>
      <c r="EE7" s="43"/>
      <c r="EF7" s="43"/>
      <c r="EG7" s="43"/>
      <c r="EH7" s="43"/>
      <c r="EI7" s="43"/>
      <c r="EJ7" s="43"/>
      <c r="EK7" s="43"/>
      <c r="EL7" s="43"/>
      <c r="EM7" s="43"/>
      <c r="EN7" s="43"/>
      <c r="EO7" s="43"/>
      <c r="EP7" s="43"/>
      <c r="EQ7" s="43"/>
      <c r="ER7" s="43"/>
      <c r="ES7" s="43"/>
      <c r="ET7" s="43"/>
      <c r="EU7" s="43"/>
      <c r="EV7" s="43"/>
      <c r="EW7" s="43"/>
      <c r="EX7" s="43"/>
      <c r="EY7" s="43"/>
      <c r="EZ7" s="43"/>
      <c r="FA7" s="43"/>
      <c r="FB7" s="43"/>
      <c r="FC7" s="43"/>
      <c r="FD7" s="43"/>
      <c r="FE7" s="43"/>
      <c r="FF7" s="43"/>
      <c r="FG7" s="43"/>
      <c r="FH7" s="43"/>
      <c r="FI7" s="43"/>
      <c r="FJ7" s="43"/>
      <c r="FK7" s="43"/>
      <c r="FL7" s="43"/>
      <c r="FM7" s="43"/>
      <c r="FN7" s="43"/>
      <c r="FO7" s="43"/>
      <c r="FP7" s="43"/>
      <c r="FQ7" s="43"/>
      <c r="FR7" s="43"/>
      <c r="FS7" s="43"/>
      <c r="FT7" s="43"/>
      <c r="FU7" s="43"/>
      <c r="FV7" s="43"/>
      <c r="FW7" s="43"/>
      <c r="FX7" s="43"/>
      <c r="FY7" s="43"/>
      <c r="FZ7" s="43"/>
      <c r="GA7" s="43"/>
      <c r="GB7" s="43"/>
      <c r="GC7" s="43"/>
      <c r="GD7" s="43"/>
      <c r="GE7" s="43"/>
      <c r="GF7" s="43"/>
      <c r="GG7" s="43"/>
      <c r="GH7" s="43"/>
      <c r="GI7" s="43"/>
      <c r="GJ7" s="43"/>
      <c r="GK7" s="43"/>
      <c r="GL7" s="43"/>
      <c r="GM7" s="43"/>
      <c r="GN7" s="43"/>
      <c r="GO7" s="43"/>
      <c r="GP7" s="43"/>
      <c r="GQ7" s="43"/>
      <c r="GR7" s="43"/>
      <c r="GS7" s="43"/>
      <c r="GT7" s="43"/>
      <c r="GU7" s="43"/>
      <c r="GV7" s="43"/>
      <c r="GW7" s="43"/>
    </row>
    <row r="8" ht="15.0" customHeight="1">
      <c r="A8" s="44"/>
      <c r="B8" s="45" t="s">
        <v>379</v>
      </c>
      <c r="C8" s="46"/>
      <c r="D8" s="46"/>
      <c r="E8" s="46"/>
      <c r="F8" s="46"/>
      <c r="G8" s="46"/>
      <c r="H8" s="46"/>
      <c r="I8" s="46"/>
      <c r="J8" s="46"/>
      <c r="K8" s="46"/>
      <c r="L8" s="46"/>
      <c r="M8" s="47"/>
      <c r="N8" s="59"/>
      <c r="W8" s="60"/>
      <c r="X8" s="44"/>
      <c r="Y8" s="70"/>
      <c r="Z8" s="57"/>
      <c r="AA8" s="58"/>
      <c r="AB8" s="70"/>
      <c r="AC8" s="57"/>
      <c r="AD8" s="58"/>
      <c r="AE8" s="59"/>
      <c r="AI8" s="60"/>
      <c r="AJ8" s="90"/>
      <c r="AK8" s="46"/>
      <c r="AL8" s="46"/>
      <c r="AM8" s="46"/>
      <c r="AN8" s="47"/>
      <c r="AO8" s="91"/>
      <c r="AP8" s="46"/>
      <c r="AQ8" s="47"/>
      <c r="AR8" s="91"/>
      <c r="AS8" s="46"/>
      <c r="AT8" s="47"/>
      <c r="AU8" s="96"/>
      <c r="AV8" s="46"/>
      <c r="AW8" s="46"/>
      <c r="AX8" s="46"/>
      <c r="AY8" s="84"/>
      <c r="AZ8" s="97"/>
      <c r="BA8" s="46"/>
      <c r="BB8" s="46"/>
      <c r="BC8" s="47"/>
      <c r="BD8" s="93"/>
      <c r="BE8" s="46"/>
      <c r="BF8" s="46"/>
      <c r="BG8" s="47"/>
      <c r="BH8" s="98"/>
      <c r="BI8" s="46"/>
      <c r="BJ8" s="46"/>
      <c r="BK8" s="47"/>
      <c r="BL8" s="94"/>
      <c r="BM8" s="47"/>
      <c r="BN8" s="95" t="str">
        <f t="shared" si="1"/>
        <v>#N/A</v>
      </c>
      <c r="BO8" s="46"/>
      <c r="BP8" s="46"/>
      <c r="BQ8" s="47"/>
      <c r="BR8" s="53"/>
      <c r="BS8" s="70"/>
      <c r="BT8" s="58"/>
      <c r="BU8" s="88" t="s">
        <v>362</v>
      </c>
      <c r="BV8" s="46"/>
      <c r="BW8" s="46"/>
      <c r="BX8" s="46"/>
      <c r="BY8" s="46"/>
      <c r="BZ8" s="47"/>
      <c r="CA8" s="70"/>
      <c r="CB8" s="57"/>
      <c r="CC8" s="57"/>
      <c r="CD8" s="57"/>
      <c r="CE8" s="57"/>
      <c r="CF8" s="57"/>
      <c r="CG8" s="57"/>
      <c r="CH8" s="57"/>
      <c r="CI8" s="57"/>
      <c r="CJ8" s="57"/>
      <c r="CK8" s="57"/>
      <c r="CL8" s="57"/>
      <c r="CM8" s="57"/>
      <c r="CN8" s="58"/>
      <c r="CO8" s="70"/>
      <c r="CP8" s="58"/>
      <c r="CQ8" s="88" t="s">
        <v>362</v>
      </c>
      <c r="CR8" s="46"/>
      <c r="CS8" s="46"/>
      <c r="CT8" s="46"/>
      <c r="CU8" s="46"/>
      <c r="CV8" s="47"/>
      <c r="CW8" s="70"/>
      <c r="CX8" s="57"/>
      <c r="CY8" s="57"/>
      <c r="CZ8" s="57"/>
      <c r="DA8" s="57"/>
      <c r="DB8" s="57"/>
      <c r="DC8" s="57"/>
      <c r="DD8" s="57"/>
      <c r="DE8" s="57"/>
      <c r="DF8" s="57"/>
      <c r="DG8" s="57"/>
      <c r="DH8" s="57"/>
      <c r="DI8" s="57"/>
      <c r="DJ8" s="58"/>
      <c r="DK8" s="53"/>
      <c r="DL8" s="43"/>
      <c r="DM8" s="43"/>
      <c r="DN8" s="43"/>
      <c r="DO8" s="43"/>
      <c r="DP8" s="43"/>
      <c r="DQ8" s="43"/>
      <c r="DR8" s="43"/>
      <c r="DS8" s="43"/>
      <c r="DT8" s="43"/>
      <c r="DU8" s="43"/>
      <c r="DV8" s="43"/>
      <c r="DW8" s="43"/>
      <c r="DX8" s="43"/>
      <c r="DY8" s="43"/>
      <c r="DZ8" s="43"/>
      <c r="EA8" s="43"/>
      <c r="EB8" s="43"/>
      <c r="EC8" s="43"/>
      <c r="ED8" s="43"/>
      <c r="EE8" s="43"/>
      <c r="EF8" s="43"/>
      <c r="EG8" s="43"/>
      <c r="EH8" s="43"/>
      <c r="EI8" s="43"/>
      <c r="EJ8" s="43"/>
      <c r="EK8" s="43"/>
      <c r="EL8" s="43"/>
      <c r="EM8" s="43"/>
      <c r="EN8" s="43"/>
      <c r="EO8" s="43"/>
      <c r="EP8" s="43"/>
      <c r="EQ8" s="43"/>
      <c r="ER8" s="43"/>
      <c r="ES8" s="43"/>
      <c r="ET8" s="43"/>
      <c r="EU8" s="43"/>
      <c r="EV8" s="43"/>
      <c r="EW8" s="43"/>
      <c r="EX8" s="43"/>
      <c r="EY8" s="43"/>
      <c r="EZ8" s="43"/>
      <c r="FA8" s="43"/>
      <c r="FB8" s="43"/>
      <c r="FC8" s="43"/>
      <c r="FD8" s="43"/>
      <c r="FE8" s="43"/>
      <c r="FF8" s="43"/>
      <c r="FG8" s="43"/>
      <c r="FH8" s="43"/>
      <c r="FI8" s="43"/>
      <c r="FJ8" s="43"/>
      <c r="FK8" s="43"/>
      <c r="FL8" s="43"/>
      <c r="FM8" s="43"/>
      <c r="FN8" s="43"/>
      <c r="FO8" s="43"/>
      <c r="FP8" s="43"/>
      <c r="FQ8" s="43"/>
      <c r="FR8" s="43"/>
      <c r="FS8" s="43"/>
      <c r="FT8" s="43"/>
      <c r="FU8" s="43"/>
      <c r="FV8" s="43"/>
      <c r="FW8" s="43"/>
      <c r="FX8" s="43"/>
      <c r="FY8" s="43"/>
      <c r="FZ8" s="43"/>
      <c r="GA8" s="43"/>
      <c r="GB8" s="43"/>
      <c r="GC8" s="43"/>
      <c r="GD8" s="43"/>
      <c r="GE8" s="43"/>
      <c r="GF8" s="43"/>
      <c r="GG8" s="43"/>
      <c r="GH8" s="43"/>
      <c r="GI8" s="43"/>
      <c r="GJ8" s="43"/>
      <c r="GK8" s="43"/>
      <c r="GL8" s="43"/>
      <c r="GM8" s="43"/>
      <c r="GN8" s="43"/>
      <c r="GO8" s="43"/>
      <c r="GP8" s="43"/>
      <c r="GQ8" s="43"/>
      <c r="GR8" s="43"/>
      <c r="GS8" s="43"/>
      <c r="GT8" s="43"/>
      <c r="GU8" s="43"/>
      <c r="GV8" s="43"/>
      <c r="GW8" s="43"/>
    </row>
    <row r="9" ht="15.0" customHeight="1">
      <c r="A9" s="44"/>
      <c r="B9" s="102"/>
      <c r="N9" s="59"/>
      <c r="W9" s="60"/>
      <c r="X9" s="44"/>
      <c r="Y9" s="66" t="s">
        <v>382</v>
      </c>
      <c r="Z9" s="49"/>
      <c r="AA9" s="50"/>
      <c r="AB9" s="100">
        <v>0.0</v>
      </c>
      <c r="AC9" s="49"/>
      <c r="AD9" s="50"/>
      <c r="AE9" s="59"/>
      <c r="AI9" s="60"/>
      <c r="AJ9" s="90"/>
      <c r="AK9" s="46"/>
      <c r="AL9" s="46"/>
      <c r="AM9" s="46"/>
      <c r="AN9" s="47"/>
      <c r="AO9" s="90"/>
      <c r="AP9" s="46"/>
      <c r="AQ9" s="47"/>
      <c r="AR9" s="90"/>
      <c r="AS9" s="46"/>
      <c r="AT9" s="47"/>
      <c r="AU9" s="91"/>
      <c r="AV9" s="46"/>
      <c r="AW9" s="46"/>
      <c r="AX9" s="46"/>
      <c r="AY9" s="84"/>
      <c r="AZ9" s="97"/>
      <c r="BA9" s="46"/>
      <c r="BB9" s="46"/>
      <c r="BC9" s="47"/>
      <c r="BD9" s="93"/>
      <c r="BE9" s="46"/>
      <c r="BF9" s="46"/>
      <c r="BG9" s="47"/>
      <c r="BH9" s="98"/>
      <c r="BI9" s="46"/>
      <c r="BJ9" s="46"/>
      <c r="BK9" s="47"/>
      <c r="BL9" s="101"/>
      <c r="BM9" s="47"/>
      <c r="BN9" s="95" t="str">
        <f t="shared" si="1"/>
        <v>#N/A</v>
      </c>
      <c r="BO9" s="46"/>
      <c r="BP9" s="46"/>
      <c r="BQ9" s="47"/>
      <c r="BR9" s="53"/>
      <c r="BS9" s="76"/>
      <c r="BT9" s="50"/>
      <c r="BU9" s="77" t="s">
        <v>5</v>
      </c>
      <c r="BV9" s="46"/>
      <c r="BW9" s="46"/>
      <c r="BX9" s="46"/>
      <c r="BY9" s="46"/>
      <c r="BZ9" s="47"/>
      <c r="CA9" s="78" t="str">
        <f>VLOOKUP(BU9,'缺陷 3xx'!B:D,3,FALSE)</f>
        <v>-</v>
      </c>
      <c r="CB9" s="49"/>
      <c r="CC9" s="49"/>
      <c r="CD9" s="49"/>
      <c r="CE9" s="49"/>
      <c r="CF9" s="49"/>
      <c r="CG9" s="49"/>
      <c r="CH9" s="49"/>
      <c r="CI9" s="49"/>
      <c r="CJ9" s="49"/>
      <c r="CK9" s="49"/>
      <c r="CL9" s="49"/>
      <c r="CM9" s="49"/>
      <c r="CN9" s="50"/>
      <c r="CO9" s="76"/>
      <c r="CP9" s="50"/>
      <c r="CQ9" s="79" t="s">
        <v>5</v>
      </c>
      <c r="CR9" s="46"/>
      <c r="CS9" s="46"/>
      <c r="CT9" s="46"/>
      <c r="CU9" s="46"/>
      <c r="CV9" s="47"/>
      <c r="CW9" s="80" t="str">
        <f>VLOOKUP(CQ9,'天賦 3xx'!B:D,3,FALSE)</f>
        <v>-</v>
      </c>
      <c r="CX9" s="49"/>
      <c r="CY9" s="49"/>
      <c r="CZ9" s="49"/>
      <c r="DA9" s="49"/>
      <c r="DB9" s="49"/>
      <c r="DC9" s="49"/>
      <c r="DD9" s="49"/>
      <c r="DE9" s="49"/>
      <c r="DF9" s="49"/>
      <c r="DG9" s="49"/>
      <c r="DH9" s="49"/>
      <c r="DI9" s="49"/>
      <c r="DJ9" s="50"/>
      <c r="DK9" s="53"/>
      <c r="DL9" s="43"/>
      <c r="DM9" s="43"/>
      <c r="DN9" s="43"/>
      <c r="DO9" s="43"/>
      <c r="DP9" s="43"/>
      <c r="DQ9" s="43"/>
      <c r="DR9" s="43"/>
      <c r="DS9" s="43"/>
      <c r="DT9" s="43"/>
      <c r="DU9" s="43"/>
      <c r="DV9" s="43"/>
      <c r="DW9" s="43"/>
      <c r="DX9" s="43"/>
      <c r="DY9" s="43"/>
      <c r="DZ9" s="43"/>
      <c r="EA9" s="43"/>
      <c r="EB9" s="43"/>
      <c r="EC9" s="43"/>
      <c r="ED9" s="43"/>
      <c r="EE9" s="43"/>
      <c r="EF9" s="43"/>
      <c r="EG9" s="43"/>
      <c r="EH9" s="43"/>
      <c r="EI9" s="43"/>
      <c r="EJ9" s="43"/>
      <c r="EK9" s="43"/>
      <c r="EL9" s="43"/>
      <c r="EM9" s="43"/>
      <c r="EN9" s="43"/>
      <c r="EO9" s="43"/>
      <c r="EP9" s="43"/>
      <c r="EQ9" s="43"/>
      <c r="ER9" s="43"/>
      <c r="ES9" s="43"/>
      <c r="ET9" s="43"/>
      <c r="EU9" s="43"/>
      <c r="EV9" s="43"/>
      <c r="EW9" s="43"/>
      <c r="EX9" s="43"/>
      <c r="EY9" s="43"/>
      <c r="EZ9" s="43"/>
      <c r="FA9" s="43"/>
      <c r="FB9" s="43"/>
      <c r="FC9" s="43"/>
      <c r="FD9" s="43"/>
      <c r="FE9" s="43"/>
      <c r="FF9" s="43"/>
      <c r="FG9" s="43"/>
      <c r="FH9" s="43"/>
      <c r="FI9" s="43"/>
      <c r="FJ9" s="43"/>
      <c r="FK9" s="43"/>
      <c r="FL9" s="43"/>
      <c r="FM9" s="43"/>
      <c r="FN9" s="43"/>
      <c r="FO9" s="43"/>
      <c r="FP9" s="43"/>
      <c r="FQ9" s="43"/>
      <c r="FR9" s="43"/>
      <c r="FS9" s="43"/>
      <c r="FT9" s="43"/>
      <c r="FU9" s="43"/>
      <c r="FV9" s="43"/>
      <c r="FW9" s="43"/>
      <c r="FX9" s="43"/>
      <c r="FY9" s="43"/>
      <c r="FZ9" s="43"/>
      <c r="GA9" s="43"/>
      <c r="GB9" s="43"/>
      <c r="GC9" s="43"/>
      <c r="GD9" s="43"/>
      <c r="GE9" s="43"/>
      <c r="GF9" s="43"/>
      <c r="GG9" s="43"/>
      <c r="GH9" s="43"/>
      <c r="GI9" s="43"/>
      <c r="GJ9" s="43"/>
      <c r="GK9" s="43"/>
      <c r="GL9" s="43"/>
      <c r="GM9" s="43"/>
      <c r="GN9" s="43"/>
      <c r="GO9" s="43"/>
      <c r="GP9" s="43"/>
      <c r="GQ9" s="43"/>
      <c r="GR9" s="43"/>
      <c r="GS9" s="43"/>
      <c r="GT9" s="43"/>
      <c r="GU9" s="43"/>
      <c r="GV9" s="43"/>
      <c r="GW9" s="43"/>
    </row>
    <row r="10" ht="15.0" customHeight="1">
      <c r="A10" s="44"/>
      <c r="B10" s="59"/>
      <c r="N10" s="59"/>
      <c r="W10" s="60"/>
      <c r="X10" s="44"/>
      <c r="Y10" s="70"/>
      <c r="Z10" s="57"/>
      <c r="AA10" s="58"/>
      <c r="AB10" s="70"/>
      <c r="AC10" s="57"/>
      <c r="AD10" s="58"/>
      <c r="AE10" s="59"/>
      <c r="AI10" s="60"/>
      <c r="AJ10" s="91"/>
      <c r="AK10" s="46"/>
      <c r="AL10" s="46"/>
      <c r="AM10" s="46"/>
      <c r="AN10" s="47"/>
      <c r="AO10" s="91"/>
      <c r="AP10" s="46"/>
      <c r="AQ10" s="47"/>
      <c r="AR10" s="91"/>
      <c r="AS10" s="46"/>
      <c r="AT10" s="47"/>
      <c r="AU10" s="91"/>
      <c r="AV10" s="46"/>
      <c r="AW10" s="46"/>
      <c r="AX10" s="46"/>
      <c r="AY10" s="84"/>
      <c r="AZ10" s="97"/>
      <c r="BA10" s="46"/>
      <c r="BB10" s="46"/>
      <c r="BC10" s="47"/>
      <c r="BD10" s="93"/>
      <c r="BE10" s="46"/>
      <c r="BF10" s="46"/>
      <c r="BG10" s="47"/>
      <c r="BH10" s="98"/>
      <c r="BI10" s="46"/>
      <c r="BJ10" s="46"/>
      <c r="BK10" s="47"/>
      <c r="BL10" s="101"/>
      <c r="BM10" s="47"/>
      <c r="BN10" s="95" t="str">
        <f t="shared" si="1"/>
        <v>#N/A</v>
      </c>
      <c r="BO10" s="46"/>
      <c r="BP10" s="46"/>
      <c r="BQ10" s="47"/>
      <c r="BR10" s="53"/>
      <c r="BS10" s="70"/>
      <c r="BT10" s="58"/>
      <c r="BU10" s="88" t="s">
        <v>362</v>
      </c>
      <c r="BV10" s="46"/>
      <c r="BW10" s="46"/>
      <c r="BX10" s="46"/>
      <c r="BY10" s="46"/>
      <c r="BZ10" s="47"/>
      <c r="CA10" s="70"/>
      <c r="CB10" s="57"/>
      <c r="CC10" s="57"/>
      <c r="CD10" s="57"/>
      <c r="CE10" s="57"/>
      <c r="CF10" s="57"/>
      <c r="CG10" s="57"/>
      <c r="CH10" s="57"/>
      <c r="CI10" s="57"/>
      <c r="CJ10" s="57"/>
      <c r="CK10" s="57"/>
      <c r="CL10" s="57"/>
      <c r="CM10" s="57"/>
      <c r="CN10" s="58"/>
      <c r="CO10" s="70"/>
      <c r="CP10" s="58"/>
      <c r="CQ10" s="88" t="s">
        <v>362</v>
      </c>
      <c r="CR10" s="46"/>
      <c r="CS10" s="46"/>
      <c r="CT10" s="46"/>
      <c r="CU10" s="46"/>
      <c r="CV10" s="47"/>
      <c r="CW10" s="70"/>
      <c r="CX10" s="57"/>
      <c r="CY10" s="57"/>
      <c r="CZ10" s="57"/>
      <c r="DA10" s="57"/>
      <c r="DB10" s="57"/>
      <c r="DC10" s="57"/>
      <c r="DD10" s="57"/>
      <c r="DE10" s="57"/>
      <c r="DF10" s="57"/>
      <c r="DG10" s="57"/>
      <c r="DH10" s="57"/>
      <c r="DI10" s="57"/>
      <c r="DJ10" s="58"/>
      <c r="DK10" s="53"/>
      <c r="DL10" s="43"/>
      <c r="DM10" s="43"/>
      <c r="DN10" s="43"/>
      <c r="DO10" s="43"/>
      <c r="DP10" s="43"/>
      <c r="DQ10" s="43"/>
      <c r="DR10" s="43"/>
      <c r="DS10" s="43"/>
      <c r="DT10" s="43"/>
      <c r="DU10" s="43"/>
      <c r="DV10" s="43"/>
      <c r="DW10" s="43"/>
      <c r="DX10" s="43"/>
      <c r="DY10" s="43"/>
      <c r="DZ10" s="43"/>
      <c r="EA10" s="43"/>
      <c r="EB10" s="43"/>
      <c r="EC10" s="43"/>
      <c r="ED10" s="43"/>
      <c r="EE10" s="43"/>
      <c r="EF10" s="43"/>
      <c r="EG10" s="43"/>
      <c r="EH10" s="43"/>
      <c r="EI10" s="43"/>
      <c r="EJ10" s="43"/>
      <c r="EK10" s="43"/>
      <c r="EL10" s="43"/>
      <c r="EM10" s="43"/>
      <c r="EN10" s="43"/>
      <c r="EO10" s="43"/>
      <c r="EP10" s="43"/>
      <c r="EQ10" s="43"/>
      <c r="ER10" s="43"/>
      <c r="ES10" s="43"/>
      <c r="ET10" s="43"/>
      <c r="EU10" s="43"/>
      <c r="EV10" s="43"/>
      <c r="EW10" s="43"/>
      <c r="EX10" s="43"/>
      <c r="EY10" s="43"/>
      <c r="EZ10" s="43"/>
      <c r="FA10" s="43"/>
      <c r="FB10" s="43"/>
      <c r="FC10" s="43"/>
      <c r="FD10" s="43"/>
      <c r="FE10" s="43"/>
      <c r="FF10" s="43"/>
      <c r="FG10" s="43"/>
      <c r="FH10" s="43"/>
      <c r="FI10" s="43"/>
      <c r="FJ10" s="43"/>
      <c r="FK10" s="43"/>
      <c r="FL10" s="43"/>
      <c r="FM10" s="43"/>
      <c r="FN10" s="43"/>
      <c r="FO10" s="43"/>
      <c r="FP10" s="43"/>
      <c r="FQ10" s="43"/>
      <c r="FR10" s="43"/>
      <c r="FS10" s="43"/>
      <c r="FT10" s="43"/>
      <c r="FU10" s="43"/>
      <c r="FV10" s="43"/>
      <c r="FW10" s="43"/>
      <c r="FX10" s="43"/>
      <c r="FY10" s="43"/>
      <c r="FZ10" s="43"/>
      <c r="GA10" s="43"/>
      <c r="GB10" s="43"/>
      <c r="GC10" s="43"/>
      <c r="GD10" s="43"/>
      <c r="GE10" s="43"/>
      <c r="GF10" s="43"/>
      <c r="GG10" s="43"/>
      <c r="GH10" s="43"/>
      <c r="GI10" s="43"/>
      <c r="GJ10" s="43"/>
      <c r="GK10" s="43"/>
      <c r="GL10" s="43"/>
      <c r="GM10" s="43"/>
      <c r="GN10" s="43"/>
      <c r="GO10" s="43"/>
      <c r="GP10" s="43"/>
      <c r="GQ10" s="43"/>
      <c r="GR10" s="43"/>
      <c r="GS10" s="43"/>
      <c r="GT10" s="43"/>
      <c r="GU10" s="43"/>
      <c r="GV10" s="43"/>
      <c r="GW10" s="43"/>
    </row>
    <row r="11" ht="15.0" customHeight="1">
      <c r="A11" s="44"/>
      <c r="B11" s="45" t="s">
        <v>387</v>
      </c>
      <c r="C11" s="46"/>
      <c r="D11" s="46"/>
      <c r="E11" s="46"/>
      <c r="F11" s="46"/>
      <c r="G11" s="46"/>
      <c r="H11" s="46"/>
      <c r="I11" s="46"/>
      <c r="J11" s="46"/>
      <c r="K11" s="46"/>
      <c r="L11" s="46"/>
      <c r="M11" s="47"/>
      <c r="N11" s="59"/>
      <c r="W11" s="60"/>
      <c r="X11" s="44"/>
      <c r="Y11" s="66" t="s">
        <v>388</v>
      </c>
      <c r="Z11" s="49"/>
      <c r="AA11" s="50"/>
      <c r="AB11" s="103">
        <v>0.0</v>
      </c>
      <c r="AC11" s="49"/>
      <c r="AD11" s="50"/>
      <c r="AE11" s="59"/>
      <c r="AI11" s="60"/>
      <c r="AJ11" s="91"/>
      <c r="AK11" s="46"/>
      <c r="AL11" s="46"/>
      <c r="AM11" s="46"/>
      <c r="AN11" s="47"/>
      <c r="AO11" s="91"/>
      <c r="AP11" s="46"/>
      <c r="AQ11" s="47"/>
      <c r="AR11" s="91"/>
      <c r="AS11" s="46"/>
      <c r="AT11" s="47"/>
      <c r="AU11" s="91"/>
      <c r="AV11" s="46"/>
      <c r="AW11" s="46"/>
      <c r="AX11" s="46"/>
      <c r="AY11" s="84"/>
      <c r="AZ11" s="97"/>
      <c r="BA11" s="46"/>
      <c r="BB11" s="46"/>
      <c r="BC11" s="47"/>
      <c r="BD11" s="98"/>
      <c r="BE11" s="46"/>
      <c r="BF11" s="46"/>
      <c r="BG11" s="47"/>
      <c r="BH11" s="98"/>
      <c r="BI11" s="46"/>
      <c r="BJ11" s="46"/>
      <c r="BK11" s="47"/>
      <c r="BL11" s="101"/>
      <c r="BM11" s="47"/>
      <c r="BN11" s="95" t="str">
        <f t="shared" si="1"/>
        <v>#N/A</v>
      </c>
      <c r="BO11" s="46"/>
      <c r="BP11" s="46"/>
      <c r="BQ11" s="47"/>
      <c r="BR11" s="53"/>
      <c r="BS11" s="76"/>
      <c r="BT11" s="50"/>
      <c r="BU11" s="77" t="s">
        <v>5</v>
      </c>
      <c r="BV11" s="46"/>
      <c r="BW11" s="46"/>
      <c r="BX11" s="46"/>
      <c r="BY11" s="46"/>
      <c r="BZ11" s="47"/>
      <c r="CA11" s="78" t="str">
        <f>VLOOKUP(BU11,'缺陷 3xx'!B:D,3,FALSE)</f>
        <v>-</v>
      </c>
      <c r="CB11" s="49"/>
      <c r="CC11" s="49"/>
      <c r="CD11" s="49"/>
      <c r="CE11" s="49"/>
      <c r="CF11" s="49"/>
      <c r="CG11" s="49"/>
      <c r="CH11" s="49"/>
      <c r="CI11" s="49"/>
      <c r="CJ11" s="49"/>
      <c r="CK11" s="49"/>
      <c r="CL11" s="49"/>
      <c r="CM11" s="49"/>
      <c r="CN11" s="50"/>
      <c r="CO11" s="76"/>
      <c r="CP11" s="50"/>
      <c r="CQ11" s="79" t="s">
        <v>5</v>
      </c>
      <c r="CR11" s="46"/>
      <c r="CS11" s="46"/>
      <c r="CT11" s="46"/>
      <c r="CU11" s="46"/>
      <c r="CV11" s="47"/>
      <c r="CW11" s="80" t="str">
        <f>VLOOKUP(CQ11,'天賦 3xx'!B:D,3,FALSE)</f>
        <v>-</v>
      </c>
      <c r="CX11" s="49"/>
      <c r="CY11" s="49"/>
      <c r="CZ11" s="49"/>
      <c r="DA11" s="49"/>
      <c r="DB11" s="49"/>
      <c r="DC11" s="49"/>
      <c r="DD11" s="49"/>
      <c r="DE11" s="49"/>
      <c r="DF11" s="49"/>
      <c r="DG11" s="49"/>
      <c r="DH11" s="49"/>
      <c r="DI11" s="49"/>
      <c r="DJ11" s="50"/>
      <c r="DK11" s="53"/>
      <c r="DL11" s="43"/>
      <c r="DM11" s="43"/>
      <c r="DN11" s="43"/>
      <c r="DO11" s="43"/>
      <c r="DP11" s="43"/>
      <c r="DQ11" s="43"/>
      <c r="DR11" s="43"/>
      <c r="DS11" s="43"/>
      <c r="DT11" s="43"/>
      <c r="DU11" s="43"/>
      <c r="DV11" s="43"/>
      <c r="DW11" s="43"/>
      <c r="DX11" s="43"/>
      <c r="DY11" s="43"/>
      <c r="DZ11" s="43"/>
      <c r="EA11" s="43"/>
      <c r="EB11" s="43"/>
      <c r="EC11" s="43"/>
      <c r="ED11" s="43"/>
      <c r="EE11" s="43"/>
      <c r="EF11" s="43"/>
      <c r="EG11" s="43"/>
      <c r="EH11" s="43"/>
      <c r="EI11" s="43"/>
      <c r="EJ11" s="43"/>
      <c r="EK11" s="43"/>
      <c r="EL11" s="43"/>
      <c r="EM11" s="43"/>
      <c r="EN11" s="43"/>
      <c r="EO11" s="43"/>
      <c r="EP11" s="43"/>
      <c r="EQ11" s="43"/>
      <c r="ER11" s="43"/>
      <c r="ES11" s="43"/>
      <c r="ET11" s="43"/>
      <c r="EU11" s="43"/>
      <c r="EV11" s="43"/>
      <c r="EW11" s="43"/>
      <c r="EX11" s="43"/>
      <c r="EY11" s="43"/>
      <c r="EZ11" s="43"/>
      <c r="FA11" s="43"/>
      <c r="FB11" s="43"/>
      <c r="FC11" s="43"/>
      <c r="FD11" s="43"/>
      <c r="FE11" s="43"/>
      <c r="FF11" s="43"/>
      <c r="FG11" s="43"/>
      <c r="FH11" s="43"/>
      <c r="FI11" s="43"/>
      <c r="FJ11" s="43"/>
      <c r="FK11" s="43"/>
      <c r="FL11" s="43"/>
      <c r="FM11" s="43"/>
      <c r="FN11" s="43"/>
      <c r="FO11" s="43"/>
      <c r="FP11" s="43"/>
      <c r="FQ11" s="43"/>
      <c r="FR11" s="43"/>
      <c r="FS11" s="43"/>
      <c r="FT11" s="43"/>
      <c r="FU11" s="43"/>
      <c r="FV11" s="43"/>
      <c r="FW11" s="43"/>
      <c r="FX11" s="43"/>
      <c r="FY11" s="43"/>
      <c r="FZ11" s="43"/>
      <c r="GA11" s="43"/>
      <c r="GB11" s="43"/>
      <c r="GC11" s="43"/>
      <c r="GD11" s="43"/>
      <c r="GE11" s="43"/>
      <c r="GF11" s="43"/>
      <c r="GG11" s="43"/>
      <c r="GH11" s="43"/>
      <c r="GI11" s="43"/>
      <c r="GJ11" s="43"/>
      <c r="GK11" s="43"/>
      <c r="GL11" s="43"/>
      <c r="GM11" s="43"/>
      <c r="GN11" s="43"/>
      <c r="GO11" s="43"/>
      <c r="GP11" s="43"/>
      <c r="GQ11" s="43"/>
      <c r="GR11" s="43"/>
      <c r="GS11" s="43"/>
      <c r="GT11" s="43"/>
      <c r="GU11" s="43"/>
      <c r="GV11" s="43"/>
      <c r="GW11" s="43"/>
    </row>
    <row r="12" ht="15.0" customHeight="1">
      <c r="A12" s="44"/>
      <c r="B12" s="102"/>
      <c r="N12" s="59"/>
      <c r="W12" s="60"/>
      <c r="X12" s="44"/>
      <c r="Y12" s="70"/>
      <c r="Z12" s="57"/>
      <c r="AA12" s="58"/>
      <c r="AB12" s="70"/>
      <c r="AC12" s="57"/>
      <c r="AD12" s="58"/>
      <c r="AE12" s="59"/>
      <c r="AI12" s="60"/>
      <c r="AJ12" s="91"/>
      <c r="AK12" s="46"/>
      <c r="AL12" s="46"/>
      <c r="AM12" s="46"/>
      <c r="AN12" s="47"/>
      <c r="AO12" s="91"/>
      <c r="AP12" s="46"/>
      <c r="AQ12" s="47"/>
      <c r="AR12" s="91"/>
      <c r="AS12" s="46"/>
      <c r="AT12" s="47"/>
      <c r="AU12" s="91"/>
      <c r="AV12" s="46"/>
      <c r="AW12" s="46"/>
      <c r="AX12" s="46"/>
      <c r="AY12" s="84"/>
      <c r="AZ12" s="97"/>
      <c r="BA12" s="46"/>
      <c r="BB12" s="46"/>
      <c r="BC12" s="47"/>
      <c r="BD12" s="98"/>
      <c r="BE12" s="46"/>
      <c r="BF12" s="46"/>
      <c r="BG12" s="47"/>
      <c r="BH12" s="98"/>
      <c r="BI12" s="46"/>
      <c r="BJ12" s="46"/>
      <c r="BK12" s="47"/>
      <c r="BL12" s="101"/>
      <c r="BM12" s="47"/>
      <c r="BN12" s="95" t="str">
        <f t="shared" si="1"/>
        <v>#N/A</v>
      </c>
      <c r="BO12" s="46"/>
      <c r="BP12" s="46"/>
      <c r="BQ12" s="47"/>
      <c r="BR12" s="53"/>
      <c r="BS12" s="70"/>
      <c r="BT12" s="58"/>
      <c r="BU12" s="88" t="s">
        <v>362</v>
      </c>
      <c r="BV12" s="46"/>
      <c r="BW12" s="46"/>
      <c r="BX12" s="46"/>
      <c r="BY12" s="46"/>
      <c r="BZ12" s="47"/>
      <c r="CA12" s="70"/>
      <c r="CB12" s="57"/>
      <c r="CC12" s="57"/>
      <c r="CD12" s="57"/>
      <c r="CE12" s="57"/>
      <c r="CF12" s="57"/>
      <c r="CG12" s="57"/>
      <c r="CH12" s="57"/>
      <c r="CI12" s="57"/>
      <c r="CJ12" s="57"/>
      <c r="CK12" s="57"/>
      <c r="CL12" s="57"/>
      <c r="CM12" s="57"/>
      <c r="CN12" s="58"/>
      <c r="CO12" s="70"/>
      <c r="CP12" s="58"/>
      <c r="CQ12" s="88" t="s">
        <v>362</v>
      </c>
      <c r="CR12" s="46"/>
      <c r="CS12" s="46"/>
      <c r="CT12" s="46"/>
      <c r="CU12" s="46"/>
      <c r="CV12" s="47"/>
      <c r="CW12" s="70"/>
      <c r="CX12" s="57"/>
      <c r="CY12" s="57"/>
      <c r="CZ12" s="57"/>
      <c r="DA12" s="57"/>
      <c r="DB12" s="57"/>
      <c r="DC12" s="57"/>
      <c r="DD12" s="57"/>
      <c r="DE12" s="57"/>
      <c r="DF12" s="57"/>
      <c r="DG12" s="57"/>
      <c r="DH12" s="57"/>
      <c r="DI12" s="57"/>
      <c r="DJ12" s="58"/>
      <c r="DK12" s="53"/>
      <c r="DL12" s="43"/>
      <c r="DM12" s="43"/>
      <c r="DN12" s="43"/>
      <c r="DO12" s="43"/>
      <c r="DP12" s="43"/>
      <c r="DQ12" s="43"/>
      <c r="DR12" s="43"/>
      <c r="DS12" s="43"/>
      <c r="DT12" s="43"/>
      <c r="DU12" s="43"/>
      <c r="DV12" s="43"/>
      <c r="DW12" s="43"/>
      <c r="DX12" s="43"/>
      <c r="DY12" s="43"/>
      <c r="DZ12" s="43"/>
      <c r="EA12" s="43"/>
      <c r="EB12" s="43"/>
      <c r="EC12" s="43"/>
      <c r="ED12" s="43"/>
      <c r="EE12" s="43"/>
      <c r="EF12" s="43"/>
      <c r="EG12" s="43"/>
      <c r="EH12" s="43"/>
      <c r="EI12" s="43"/>
      <c r="EJ12" s="43"/>
      <c r="EK12" s="43"/>
      <c r="EL12" s="43"/>
      <c r="EM12" s="43"/>
      <c r="EN12" s="43"/>
      <c r="EO12" s="43"/>
      <c r="EP12" s="43"/>
      <c r="EQ12" s="43"/>
      <c r="ER12" s="43"/>
      <c r="ES12" s="43"/>
      <c r="ET12" s="43"/>
      <c r="EU12" s="43"/>
      <c r="EV12" s="43"/>
      <c r="EW12" s="43"/>
      <c r="EX12" s="43"/>
      <c r="EY12" s="43"/>
      <c r="EZ12" s="43"/>
      <c r="FA12" s="43"/>
      <c r="FB12" s="43"/>
      <c r="FC12" s="43"/>
      <c r="FD12" s="43"/>
      <c r="FE12" s="43"/>
      <c r="FF12" s="43"/>
      <c r="FG12" s="43"/>
      <c r="FH12" s="43"/>
      <c r="FI12" s="43"/>
      <c r="FJ12" s="43"/>
      <c r="FK12" s="43"/>
      <c r="FL12" s="43"/>
      <c r="FM12" s="43"/>
      <c r="FN12" s="43"/>
      <c r="FO12" s="43"/>
      <c r="FP12" s="43"/>
      <c r="FQ12" s="43"/>
      <c r="FR12" s="43"/>
      <c r="FS12" s="43"/>
      <c r="FT12" s="43"/>
      <c r="FU12" s="43"/>
      <c r="FV12" s="43"/>
      <c r="FW12" s="43"/>
      <c r="FX12" s="43"/>
      <c r="FY12" s="43"/>
      <c r="FZ12" s="43"/>
      <c r="GA12" s="43"/>
      <c r="GB12" s="43"/>
      <c r="GC12" s="43"/>
      <c r="GD12" s="43"/>
      <c r="GE12" s="43"/>
      <c r="GF12" s="43"/>
      <c r="GG12" s="43"/>
      <c r="GH12" s="43"/>
      <c r="GI12" s="43"/>
      <c r="GJ12" s="43"/>
      <c r="GK12" s="43"/>
      <c r="GL12" s="43"/>
      <c r="GM12" s="43"/>
      <c r="GN12" s="43"/>
      <c r="GO12" s="43"/>
      <c r="GP12" s="43"/>
      <c r="GQ12" s="43"/>
      <c r="GR12" s="43"/>
      <c r="GS12" s="43"/>
      <c r="GT12" s="43"/>
      <c r="GU12" s="43"/>
      <c r="GV12" s="43"/>
      <c r="GW12" s="43"/>
    </row>
    <row r="13" ht="15.0" customHeight="1">
      <c r="A13" s="44"/>
      <c r="B13" s="59"/>
      <c r="N13" s="59"/>
      <c r="W13" s="60"/>
      <c r="X13" s="44"/>
      <c r="Y13" s="66" t="s">
        <v>392</v>
      </c>
      <c r="Z13" s="49"/>
      <c r="AA13" s="50"/>
      <c r="AB13" s="105">
        <v>0.0</v>
      </c>
      <c r="AC13" s="49"/>
      <c r="AD13" s="50"/>
      <c r="AE13" s="59"/>
      <c r="AI13" s="60"/>
      <c r="AJ13" s="91"/>
      <c r="AK13" s="46"/>
      <c r="AL13" s="46"/>
      <c r="AM13" s="46"/>
      <c r="AN13" s="47"/>
      <c r="AO13" s="91"/>
      <c r="AP13" s="46"/>
      <c r="AQ13" s="47"/>
      <c r="AR13" s="91"/>
      <c r="AS13" s="46"/>
      <c r="AT13" s="47"/>
      <c r="AU13" s="91"/>
      <c r="AV13" s="46"/>
      <c r="AW13" s="46"/>
      <c r="AX13" s="46"/>
      <c r="AY13" s="84"/>
      <c r="AZ13" s="97"/>
      <c r="BA13" s="46"/>
      <c r="BB13" s="46"/>
      <c r="BC13" s="47"/>
      <c r="BD13" s="98"/>
      <c r="BE13" s="46"/>
      <c r="BF13" s="46"/>
      <c r="BG13" s="47"/>
      <c r="BH13" s="98"/>
      <c r="BI13" s="46"/>
      <c r="BJ13" s="46"/>
      <c r="BK13" s="47"/>
      <c r="BL13" s="101"/>
      <c r="BM13" s="47"/>
      <c r="BN13" s="95" t="str">
        <f t="shared" si="1"/>
        <v>#N/A</v>
      </c>
      <c r="BO13" s="46"/>
      <c r="BP13" s="46"/>
      <c r="BQ13" s="47"/>
      <c r="BR13" s="53"/>
      <c r="BS13" s="76"/>
      <c r="BT13" s="50"/>
      <c r="BU13" s="77" t="s">
        <v>5</v>
      </c>
      <c r="BV13" s="46"/>
      <c r="BW13" s="46"/>
      <c r="BX13" s="46"/>
      <c r="BY13" s="46"/>
      <c r="BZ13" s="47"/>
      <c r="CA13" s="78" t="str">
        <f>VLOOKUP(BU13,'缺陷 3xx'!B:D,3,FALSE)</f>
        <v>-</v>
      </c>
      <c r="CB13" s="49"/>
      <c r="CC13" s="49"/>
      <c r="CD13" s="49"/>
      <c r="CE13" s="49"/>
      <c r="CF13" s="49"/>
      <c r="CG13" s="49"/>
      <c r="CH13" s="49"/>
      <c r="CI13" s="49"/>
      <c r="CJ13" s="49"/>
      <c r="CK13" s="49"/>
      <c r="CL13" s="49"/>
      <c r="CM13" s="49"/>
      <c r="CN13" s="50"/>
      <c r="CO13" s="76"/>
      <c r="CP13" s="50"/>
      <c r="CQ13" s="79" t="s">
        <v>5</v>
      </c>
      <c r="CR13" s="46"/>
      <c r="CS13" s="46"/>
      <c r="CT13" s="46"/>
      <c r="CU13" s="46"/>
      <c r="CV13" s="47"/>
      <c r="CW13" s="80" t="str">
        <f>VLOOKUP(CQ13,'天賦 3xx'!B:D,3,FALSE)</f>
        <v>-</v>
      </c>
      <c r="CX13" s="49"/>
      <c r="CY13" s="49"/>
      <c r="CZ13" s="49"/>
      <c r="DA13" s="49"/>
      <c r="DB13" s="49"/>
      <c r="DC13" s="49"/>
      <c r="DD13" s="49"/>
      <c r="DE13" s="49"/>
      <c r="DF13" s="49"/>
      <c r="DG13" s="49"/>
      <c r="DH13" s="49"/>
      <c r="DI13" s="49"/>
      <c r="DJ13" s="50"/>
      <c r="DK13" s="53"/>
      <c r="DL13" s="43"/>
      <c r="DM13" s="43"/>
      <c r="DN13" s="43"/>
      <c r="DO13" s="43"/>
      <c r="DP13" s="43"/>
      <c r="DQ13" s="43"/>
      <c r="DR13" s="43"/>
      <c r="DS13" s="43"/>
      <c r="DT13" s="43"/>
      <c r="DU13" s="43"/>
      <c r="DV13" s="43"/>
      <c r="DW13" s="43"/>
      <c r="DX13" s="43"/>
      <c r="DY13" s="43"/>
      <c r="DZ13" s="43"/>
      <c r="EA13" s="43"/>
      <c r="EB13" s="43"/>
      <c r="EC13" s="43"/>
      <c r="ED13" s="43"/>
      <c r="EE13" s="43"/>
      <c r="EF13" s="43"/>
      <c r="EG13" s="43"/>
      <c r="EH13" s="43"/>
      <c r="EI13" s="43"/>
      <c r="EJ13" s="43"/>
      <c r="EK13" s="43"/>
      <c r="EL13" s="43"/>
      <c r="EM13" s="43"/>
      <c r="EN13" s="43"/>
      <c r="EO13" s="43"/>
      <c r="EP13" s="43"/>
      <c r="EQ13" s="43"/>
      <c r="ER13" s="43"/>
      <c r="ES13" s="43"/>
      <c r="ET13" s="43"/>
      <c r="EU13" s="43"/>
      <c r="EV13" s="43"/>
      <c r="EW13" s="43"/>
      <c r="EX13" s="43"/>
      <c r="EY13" s="43"/>
      <c r="EZ13" s="43"/>
      <c r="FA13" s="43"/>
      <c r="FB13" s="43"/>
      <c r="FC13" s="43"/>
      <c r="FD13" s="43"/>
      <c r="FE13" s="43"/>
      <c r="FF13" s="43"/>
      <c r="FG13" s="43"/>
      <c r="FH13" s="43"/>
      <c r="FI13" s="43"/>
      <c r="FJ13" s="43"/>
      <c r="FK13" s="43"/>
      <c r="FL13" s="43"/>
      <c r="FM13" s="43"/>
      <c r="FN13" s="43"/>
      <c r="FO13" s="43"/>
      <c r="FP13" s="43"/>
      <c r="FQ13" s="43"/>
      <c r="FR13" s="43"/>
      <c r="FS13" s="43"/>
      <c r="FT13" s="43"/>
      <c r="FU13" s="43"/>
      <c r="FV13" s="43"/>
      <c r="FW13" s="43"/>
      <c r="FX13" s="43"/>
      <c r="FY13" s="43"/>
      <c r="FZ13" s="43"/>
      <c r="GA13" s="43"/>
      <c r="GB13" s="43"/>
      <c r="GC13" s="43"/>
      <c r="GD13" s="43"/>
      <c r="GE13" s="43"/>
      <c r="GF13" s="43"/>
      <c r="GG13" s="43"/>
      <c r="GH13" s="43"/>
      <c r="GI13" s="43"/>
      <c r="GJ13" s="43"/>
      <c r="GK13" s="43"/>
      <c r="GL13" s="43"/>
      <c r="GM13" s="43"/>
      <c r="GN13" s="43"/>
      <c r="GO13" s="43"/>
      <c r="GP13" s="43"/>
      <c r="GQ13" s="43"/>
      <c r="GR13" s="43"/>
      <c r="GS13" s="43"/>
      <c r="GT13" s="43"/>
      <c r="GU13" s="43"/>
      <c r="GV13" s="43"/>
      <c r="GW13" s="43"/>
    </row>
    <row r="14" ht="15.0" customHeight="1">
      <c r="A14" s="44"/>
      <c r="B14" s="70"/>
      <c r="C14" s="57"/>
      <c r="D14" s="57"/>
      <c r="E14" s="57"/>
      <c r="F14" s="57"/>
      <c r="G14" s="57"/>
      <c r="H14" s="57"/>
      <c r="I14" s="57"/>
      <c r="J14" s="57"/>
      <c r="K14" s="57"/>
      <c r="L14" s="57"/>
      <c r="M14" s="57"/>
      <c r="N14" s="70"/>
      <c r="O14" s="57"/>
      <c r="P14" s="57"/>
      <c r="Q14" s="57"/>
      <c r="R14" s="57"/>
      <c r="S14" s="57"/>
      <c r="T14" s="57"/>
      <c r="U14" s="57"/>
      <c r="V14" s="57"/>
      <c r="W14" s="58"/>
      <c r="X14" s="44"/>
      <c r="Y14" s="70"/>
      <c r="Z14" s="57"/>
      <c r="AA14" s="58"/>
      <c r="AB14" s="70"/>
      <c r="AC14" s="57"/>
      <c r="AD14" s="58"/>
      <c r="AE14" s="70"/>
      <c r="AF14" s="57"/>
      <c r="AG14" s="57"/>
      <c r="AH14" s="57"/>
      <c r="AI14" s="58"/>
      <c r="AJ14" s="91"/>
      <c r="AK14" s="46"/>
      <c r="AL14" s="46"/>
      <c r="AM14" s="46"/>
      <c r="AN14" s="47"/>
      <c r="AO14" s="91"/>
      <c r="AP14" s="46"/>
      <c r="AQ14" s="47"/>
      <c r="AR14" s="91"/>
      <c r="AS14" s="46"/>
      <c r="AT14" s="47"/>
      <c r="AU14" s="91"/>
      <c r="AV14" s="46"/>
      <c r="AW14" s="46"/>
      <c r="AX14" s="46"/>
      <c r="AY14" s="84"/>
      <c r="AZ14" s="97"/>
      <c r="BA14" s="46"/>
      <c r="BB14" s="46"/>
      <c r="BC14" s="47"/>
      <c r="BD14" s="98"/>
      <c r="BE14" s="46"/>
      <c r="BF14" s="46"/>
      <c r="BG14" s="47"/>
      <c r="BH14" s="98"/>
      <c r="BI14" s="46"/>
      <c r="BJ14" s="46"/>
      <c r="BK14" s="47"/>
      <c r="BL14" s="101"/>
      <c r="BM14" s="47"/>
      <c r="BN14" s="95" t="str">
        <f t="shared" si="1"/>
        <v>#N/A</v>
      </c>
      <c r="BO14" s="46"/>
      <c r="BP14" s="46"/>
      <c r="BQ14" s="47"/>
      <c r="BR14" s="53"/>
      <c r="BS14" s="70"/>
      <c r="BT14" s="58"/>
      <c r="BU14" s="88" t="s">
        <v>362</v>
      </c>
      <c r="BV14" s="46"/>
      <c r="BW14" s="46"/>
      <c r="BX14" s="46"/>
      <c r="BY14" s="46"/>
      <c r="BZ14" s="47"/>
      <c r="CA14" s="70"/>
      <c r="CB14" s="57"/>
      <c r="CC14" s="57"/>
      <c r="CD14" s="57"/>
      <c r="CE14" s="57"/>
      <c r="CF14" s="57"/>
      <c r="CG14" s="57"/>
      <c r="CH14" s="57"/>
      <c r="CI14" s="57"/>
      <c r="CJ14" s="57"/>
      <c r="CK14" s="57"/>
      <c r="CL14" s="57"/>
      <c r="CM14" s="57"/>
      <c r="CN14" s="58"/>
      <c r="CO14" s="70"/>
      <c r="CP14" s="58"/>
      <c r="CQ14" s="88" t="s">
        <v>362</v>
      </c>
      <c r="CR14" s="46"/>
      <c r="CS14" s="46"/>
      <c r="CT14" s="46"/>
      <c r="CU14" s="46"/>
      <c r="CV14" s="47"/>
      <c r="CW14" s="70"/>
      <c r="CX14" s="57"/>
      <c r="CY14" s="57"/>
      <c r="CZ14" s="57"/>
      <c r="DA14" s="57"/>
      <c r="DB14" s="57"/>
      <c r="DC14" s="57"/>
      <c r="DD14" s="57"/>
      <c r="DE14" s="57"/>
      <c r="DF14" s="57"/>
      <c r="DG14" s="57"/>
      <c r="DH14" s="57"/>
      <c r="DI14" s="57"/>
      <c r="DJ14" s="58"/>
      <c r="DK14" s="53"/>
      <c r="DL14" s="43"/>
      <c r="DM14" s="43"/>
      <c r="DN14" s="43"/>
      <c r="DO14" s="43"/>
      <c r="DP14" s="43"/>
      <c r="DQ14" s="43"/>
      <c r="DR14" s="43"/>
      <c r="DS14" s="43"/>
      <c r="DT14" s="43"/>
      <c r="DU14" s="43"/>
      <c r="DV14" s="43"/>
      <c r="DW14" s="43"/>
      <c r="DX14" s="43"/>
      <c r="DY14" s="43"/>
      <c r="DZ14" s="43"/>
      <c r="EA14" s="43"/>
      <c r="EB14" s="43"/>
      <c r="EC14" s="43"/>
      <c r="ED14" s="43"/>
      <c r="EE14" s="43"/>
      <c r="EF14" s="43"/>
      <c r="EG14" s="43"/>
      <c r="EH14" s="43"/>
      <c r="EI14" s="43"/>
      <c r="EJ14" s="43"/>
      <c r="EK14" s="43"/>
      <c r="EL14" s="43"/>
      <c r="EM14" s="43"/>
      <c r="EN14" s="43"/>
      <c r="EO14" s="43"/>
      <c r="EP14" s="43"/>
      <c r="EQ14" s="43"/>
      <c r="ER14" s="43"/>
      <c r="ES14" s="43"/>
      <c r="ET14" s="43"/>
      <c r="EU14" s="43"/>
      <c r="EV14" s="43"/>
      <c r="EW14" s="43"/>
      <c r="EX14" s="43"/>
      <c r="EY14" s="43"/>
      <c r="EZ14" s="43"/>
      <c r="FA14" s="43"/>
      <c r="FB14" s="43"/>
      <c r="FC14" s="43"/>
      <c r="FD14" s="43"/>
      <c r="FE14" s="43"/>
      <c r="FF14" s="43"/>
      <c r="FG14" s="43"/>
      <c r="FH14" s="43"/>
      <c r="FI14" s="43"/>
      <c r="FJ14" s="43"/>
      <c r="FK14" s="43"/>
      <c r="FL14" s="43"/>
      <c r="FM14" s="43"/>
      <c r="FN14" s="43"/>
      <c r="FO14" s="43"/>
      <c r="FP14" s="43"/>
      <c r="FQ14" s="43"/>
      <c r="FR14" s="43"/>
      <c r="FS14" s="43"/>
      <c r="FT14" s="43"/>
      <c r="FU14" s="43"/>
      <c r="FV14" s="43"/>
      <c r="FW14" s="43"/>
      <c r="FX14" s="43"/>
      <c r="FY14" s="43"/>
      <c r="FZ14" s="43"/>
      <c r="GA14" s="43"/>
      <c r="GB14" s="43"/>
      <c r="GC14" s="43"/>
      <c r="GD14" s="43"/>
      <c r="GE14" s="43"/>
      <c r="GF14" s="43"/>
      <c r="GG14" s="43"/>
      <c r="GH14" s="43"/>
      <c r="GI14" s="43"/>
      <c r="GJ14" s="43"/>
      <c r="GK14" s="43"/>
      <c r="GL14" s="43"/>
      <c r="GM14" s="43"/>
      <c r="GN14" s="43"/>
      <c r="GO14" s="43"/>
      <c r="GP14" s="43"/>
      <c r="GQ14" s="43"/>
      <c r="GR14" s="43"/>
      <c r="GS14" s="43"/>
      <c r="GT14" s="43"/>
      <c r="GU14" s="43"/>
      <c r="GV14" s="43"/>
      <c r="GW14" s="43"/>
    </row>
    <row r="15" ht="15.0" customHeight="1">
      <c r="A15" s="106"/>
      <c r="B15" s="107" t="str">
        <f>IFERROR(
_xlfn.IFS(SUM($F$18:$G$26)=18,"請在建卡欄位分配您的屬性(3+2+1/6)，單屬性上限為5，總和為30。",
SUMIF($F$18:$G$26,"&gt;5")&gt;0,"創角點數上限為5，請檢查。",
SUM($F$18:$G$26)+COUNTIF($F$18:$G$26,"&gt;4")=30,"創卡屬性分配完成。"),"請在建卡欄位分配您的屬性(3+2+1/6)，單屬性上限為5，總和為30。剩餘點數："&amp;(30-SUM($F$18:$F$26)-COUNTIF($F$18:$F$26,"&gt;4")))</f>
        <v>請在建卡欄位分配您的屬性(3+2+1/6)，單屬性上限為5，總和為30。</v>
      </c>
      <c r="AG15" s="36"/>
      <c r="AH15" s="36"/>
      <c r="AI15" s="36"/>
      <c r="AJ15" s="36"/>
      <c r="AK15" s="36"/>
      <c r="AL15" s="36"/>
      <c r="AM15" s="36"/>
      <c r="AN15" s="36"/>
      <c r="AO15" s="36"/>
      <c r="AP15" s="36"/>
      <c r="AQ15" s="36"/>
      <c r="AR15" s="36"/>
      <c r="AS15" s="36"/>
      <c r="AT15" s="36"/>
      <c r="AU15" s="36"/>
      <c r="AV15" s="36"/>
      <c r="AW15" s="108"/>
      <c r="AX15" s="36"/>
      <c r="AY15" s="36"/>
      <c r="AZ15" s="36"/>
      <c r="BA15" s="36"/>
      <c r="BB15" s="36"/>
      <c r="BC15" s="36"/>
      <c r="BD15" s="36"/>
      <c r="BE15" s="36"/>
      <c r="BF15" s="36"/>
      <c r="BG15" s="36"/>
      <c r="BH15" s="36"/>
      <c r="BI15" s="36"/>
      <c r="BJ15" s="36"/>
      <c r="BK15" s="36"/>
      <c r="BL15" s="36"/>
      <c r="BM15" s="36"/>
      <c r="BN15" s="36"/>
      <c r="BO15" s="36"/>
      <c r="BP15" s="36"/>
      <c r="BQ15" s="43"/>
      <c r="BR15" s="109"/>
      <c r="BS15" s="76"/>
      <c r="BT15" s="50"/>
      <c r="BU15" s="77" t="s">
        <v>5</v>
      </c>
      <c r="BV15" s="46"/>
      <c r="BW15" s="46"/>
      <c r="BX15" s="46"/>
      <c r="BY15" s="46"/>
      <c r="BZ15" s="47"/>
      <c r="CA15" s="78" t="str">
        <f>VLOOKUP(BU15,'缺陷 3xx'!B:D,3,FALSE)</f>
        <v>-</v>
      </c>
      <c r="CB15" s="49"/>
      <c r="CC15" s="49"/>
      <c r="CD15" s="49"/>
      <c r="CE15" s="49"/>
      <c r="CF15" s="49"/>
      <c r="CG15" s="49"/>
      <c r="CH15" s="49"/>
      <c r="CI15" s="49"/>
      <c r="CJ15" s="49"/>
      <c r="CK15" s="49"/>
      <c r="CL15" s="49"/>
      <c r="CM15" s="49"/>
      <c r="CN15" s="50"/>
      <c r="CO15" s="110" t="s">
        <v>396</v>
      </c>
      <c r="CP15" s="46"/>
      <c r="CQ15" s="46"/>
      <c r="CR15" s="46"/>
      <c r="CS15" s="46"/>
      <c r="CT15" s="46"/>
      <c r="CU15" s="46"/>
      <c r="CV15" s="46"/>
      <c r="CW15" s="46"/>
      <c r="CX15" s="46"/>
      <c r="CY15" s="46"/>
      <c r="CZ15" s="46"/>
      <c r="DA15" s="46"/>
      <c r="DB15" s="46"/>
      <c r="DC15" s="46"/>
      <c r="DD15" s="46"/>
      <c r="DE15" s="46"/>
      <c r="DF15" s="46"/>
      <c r="DG15" s="46"/>
      <c r="DH15" s="46"/>
      <c r="DI15" s="46"/>
      <c r="DJ15" s="47"/>
      <c r="DK15" s="53"/>
      <c r="DL15" s="43"/>
      <c r="DM15" s="43"/>
      <c r="DN15" s="43"/>
      <c r="DO15" s="43"/>
      <c r="DP15" s="43"/>
      <c r="DQ15" s="43"/>
      <c r="DR15" s="43"/>
      <c r="DS15" s="43"/>
      <c r="DT15" s="43"/>
      <c r="DU15" s="43"/>
      <c r="DV15" s="43"/>
      <c r="DW15" s="43"/>
      <c r="DX15" s="43"/>
      <c r="DY15" s="43"/>
      <c r="DZ15" s="43"/>
      <c r="EA15" s="43"/>
      <c r="EB15" s="43"/>
      <c r="EC15" s="43"/>
      <c r="ED15" s="43"/>
      <c r="EE15" s="43"/>
      <c r="EF15" s="43"/>
      <c r="EG15" s="43"/>
      <c r="EH15" s="43"/>
      <c r="EI15" s="43"/>
      <c r="EJ15" s="43"/>
      <c r="EK15" s="43"/>
      <c r="EL15" s="43"/>
      <c r="EM15" s="43"/>
      <c r="EN15" s="43"/>
      <c r="EO15" s="43"/>
      <c r="EP15" s="43"/>
      <c r="EQ15" s="43"/>
      <c r="ER15" s="43"/>
      <c r="ES15" s="43"/>
      <c r="ET15" s="43"/>
      <c r="EU15" s="43"/>
      <c r="EV15" s="43"/>
      <c r="EW15" s="43"/>
      <c r="EX15" s="43"/>
      <c r="EY15" s="43"/>
      <c r="EZ15" s="43"/>
      <c r="FA15" s="43"/>
      <c r="FB15" s="43"/>
      <c r="FC15" s="43"/>
      <c r="FD15" s="43"/>
      <c r="FE15" s="43"/>
      <c r="FF15" s="43"/>
      <c r="FG15" s="43"/>
      <c r="FH15" s="43"/>
      <c r="FI15" s="43"/>
      <c r="FJ15" s="43"/>
      <c r="FK15" s="43"/>
      <c r="FL15" s="43"/>
      <c r="FM15" s="43"/>
      <c r="FN15" s="43"/>
      <c r="FO15" s="43"/>
      <c r="FP15" s="43"/>
      <c r="FQ15" s="43"/>
      <c r="FR15" s="43"/>
      <c r="FS15" s="43"/>
      <c r="FT15" s="43"/>
      <c r="FU15" s="43"/>
      <c r="FV15" s="43"/>
      <c r="FW15" s="43"/>
      <c r="FX15" s="43"/>
      <c r="FY15" s="43"/>
      <c r="FZ15" s="43"/>
      <c r="GA15" s="43"/>
      <c r="GB15" s="43"/>
      <c r="GC15" s="43"/>
      <c r="GD15" s="43"/>
      <c r="GE15" s="43"/>
      <c r="GF15" s="43"/>
      <c r="GG15" s="43"/>
      <c r="GH15" s="43"/>
      <c r="GI15" s="43"/>
      <c r="GJ15" s="43"/>
      <c r="GK15" s="43"/>
      <c r="GL15" s="43"/>
      <c r="GM15" s="43"/>
      <c r="GN15" s="43"/>
      <c r="GO15" s="43"/>
      <c r="GP15" s="43"/>
      <c r="GQ15" s="43"/>
      <c r="GR15" s="43"/>
      <c r="GS15" s="43"/>
      <c r="GT15" s="43"/>
      <c r="GU15" s="43"/>
      <c r="GV15" s="43"/>
      <c r="GW15" s="43"/>
    </row>
    <row r="16" ht="15.0" customHeight="1">
      <c r="A16" s="44"/>
      <c r="B16" s="61" t="s">
        <v>397</v>
      </c>
      <c r="C16" s="49"/>
      <c r="D16" s="49"/>
      <c r="E16" s="50"/>
      <c r="F16" s="51" t="s">
        <v>398</v>
      </c>
      <c r="G16" s="46"/>
      <c r="H16" s="46"/>
      <c r="I16" s="46"/>
      <c r="J16" s="75" t="s">
        <v>400</v>
      </c>
      <c r="K16" s="46"/>
      <c r="L16" s="46"/>
      <c r="M16" s="46"/>
      <c r="N16" s="46"/>
      <c r="O16" s="46"/>
      <c r="P16" s="46"/>
      <c r="Q16" s="46"/>
      <c r="R16" s="46"/>
      <c r="S16" s="46"/>
      <c r="T16" s="46"/>
      <c r="U16" s="46"/>
      <c r="V16" s="46"/>
      <c r="W16" s="47"/>
      <c r="X16" s="111" t="s">
        <v>401</v>
      </c>
      <c r="Y16" s="46"/>
      <c r="Z16" s="46"/>
      <c r="AA16" s="46"/>
      <c r="AB16" s="46"/>
      <c r="AC16" s="46"/>
      <c r="AD16" s="46"/>
      <c r="AE16" s="46"/>
      <c r="AF16" s="47"/>
      <c r="AG16" s="53"/>
      <c r="AH16" s="112" t="s">
        <v>402</v>
      </c>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7"/>
      <c r="BR16" s="53"/>
      <c r="BS16" s="70"/>
      <c r="BT16" s="58"/>
      <c r="BU16" s="88" t="s">
        <v>362</v>
      </c>
      <c r="BV16" s="46"/>
      <c r="BW16" s="46"/>
      <c r="BX16" s="46"/>
      <c r="BY16" s="46"/>
      <c r="BZ16" s="47"/>
      <c r="CA16" s="70"/>
      <c r="CB16" s="57"/>
      <c r="CC16" s="57"/>
      <c r="CD16" s="57"/>
      <c r="CE16" s="57"/>
      <c r="CF16" s="57"/>
      <c r="CG16" s="57"/>
      <c r="CH16" s="57"/>
      <c r="CI16" s="57"/>
      <c r="CJ16" s="57"/>
      <c r="CK16" s="57"/>
      <c r="CL16" s="57"/>
      <c r="CM16" s="57"/>
      <c r="CN16" s="58"/>
      <c r="CO16" s="113" t="s">
        <v>403</v>
      </c>
      <c r="CP16" s="46"/>
      <c r="CQ16" s="46"/>
      <c r="CR16" s="46"/>
      <c r="CS16" s="46"/>
      <c r="CT16" s="47"/>
      <c r="CU16" s="113" t="s">
        <v>404</v>
      </c>
      <c r="CV16" s="46"/>
      <c r="CW16" s="46"/>
      <c r="CX16" s="46"/>
      <c r="CY16" s="46"/>
      <c r="CZ16" s="46"/>
      <c r="DA16" s="46"/>
      <c r="DB16" s="46"/>
      <c r="DC16" s="46"/>
      <c r="DD16" s="46"/>
      <c r="DE16" s="46"/>
      <c r="DF16" s="46"/>
      <c r="DG16" s="46"/>
      <c r="DH16" s="46"/>
      <c r="DI16" s="46"/>
      <c r="DJ16" s="47"/>
      <c r="DK16" s="53"/>
      <c r="DL16" s="43"/>
      <c r="DM16" s="43"/>
      <c r="DN16" s="43"/>
      <c r="DO16" s="43"/>
      <c r="DP16" s="43"/>
      <c r="DQ16" s="43"/>
      <c r="DR16" s="43"/>
      <c r="DS16" s="43"/>
      <c r="DT16" s="43"/>
      <c r="DU16" s="43"/>
      <c r="DV16" s="43"/>
      <c r="DW16" s="43"/>
      <c r="DX16" s="43"/>
      <c r="DY16" s="43"/>
      <c r="DZ16" s="43"/>
      <c r="EA16" s="43"/>
      <c r="EB16" s="43"/>
      <c r="EC16" s="43"/>
      <c r="ED16" s="43"/>
      <c r="EE16" s="43"/>
      <c r="EF16" s="43"/>
      <c r="EG16" s="43"/>
      <c r="EH16" s="43"/>
      <c r="EI16" s="43"/>
      <c r="EJ16" s="43"/>
      <c r="EK16" s="43"/>
      <c r="EL16" s="43"/>
      <c r="EM16" s="43"/>
      <c r="EN16" s="43"/>
      <c r="EO16" s="43"/>
      <c r="EP16" s="43"/>
      <c r="EQ16" s="43"/>
      <c r="ER16" s="43"/>
      <c r="ES16" s="43"/>
      <c r="ET16" s="43"/>
      <c r="EU16" s="43"/>
      <c r="EV16" s="43"/>
      <c r="EW16" s="43"/>
      <c r="EX16" s="43"/>
      <c r="EY16" s="43"/>
      <c r="EZ16" s="43"/>
      <c r="FA16" s="43"/>
      <c r="FB16" s="43"/>
      <c r="FC16" s="43"/>
      <c r="FD16" s="43"/>
      <c r="FE16" s="43"/>
      <c r="FF16" s="43"/>
      <c r="FG16" s="43"/>
      <c r="FH16" s="43"/>
      <c r="FI16" s="43"/>
      <c r="FJ16" s="43"/>
      <c r="FK16" s="43"/>
      <c r="FL16" s="43"/>
      <c r="FM16" s="43"/>
      <c r="FN16" s="43"/>
      <c r="FO16" s="43"/>
      <c r="FP16" s="43"/>
      <c r="FQ16" s="43"/>
      <c r="FR16" s="43"/>
      <c r="FS16" s="43"/>
      <c r="FT16" s="43"/>
      <c r="FU16" s="43"/>
      <c r="FV16" s="43"/>
      <c r="FW16" s="43"/>
      <c r="FX16" s="43"/>
      <c r="FY16" s="43"/>
      <c r="FZ16" s="43"/>
      <c r="GA16" s="43"/>
      <c r="GB16" s="43"/>
      <c r="GC16" s="43"/>
      <c r="GD16" s="43"/>
      <c r="GE16" s="43"/>
      <c r="GF16" s="43"/>
      <c r="GG16" s="43"/>
      <c r="GH16" s="43"/>
      <c r="GI16" s="43"/>
      <c r="GJ16" s="43"/>
      <c r="GK16" s="43"/>
      <c r="GL16" s="43"/>
      <c r="GM16" s="43"/>
      <c r="GN16" s="43"/>
      <c r="GO16" s="43"/>
      <c r="GP16" s="43"/>
      <c r="GQ16" s="43"/>
      <c r="GR16" s="43"/>
      <c r="GS16" s="43"/>
      <c r="GT16" s="43"/>
      <c r="GU16" s="43"/>
      <c r="GV16" s="43"/>
      <c r="GW16" s="43"/>
    </row>
    <row r="17" ht="15.0" customHeight="1">
      <c r="A17" s="44"/>
      <c r="B17" s="70"/>
      <c r="C17" s="57"/>
      <c r="D17" s="57"/>
      <c r="E17" s="58"/>
      <c r="F17" s="114" t="s">
        <v>405</v>
      </c>
      <c r="G17" s="47"/>
      <c r="H17" s="114" t="s">
        <v>406</v>
      </c>
      <c r="I17" s="47"/>
      <c r="J17" s="114" t="s">
        <v>407</v>
      </c>
      <c r="K17" s="47"/>
      <c r="L17" s="114" t="s">
        <v>408</v>
      </c>
      <c r="M17" s="47"/>
      <c r="N17" s="114" t="s">
        <v>409</v>
      </c>
      <c r="O17" s="47"/>
      <c r="P17" s="114" t="s">
        <v>410</v>
      </c>
      <c r="Q17" s="47"/>
      <c r="R17" s="114" t="s">
        <v>411</v>
      </c>
      <c r="S17" s="47"/>
      <c r="T17" s="114" t="s">
        <v>412</v>
      </c>
      <c r="U17" s="47"/>
      <c r="V17" s="114" t="s">
        <v>413</v>
      </c>
      <c r="W17" s="47"/>
      <c r="X17" s="115" t="s">
        <v>414</v>
      </c>
      <c r="Y17" s="46"/>
      <c r="Z17" s="47"/>
      <c r="AA17" s="111" t="s">
        <v>415</v>
      </c>
      <c r="AB17" s="46"/>
      <c r="AC17" s="47"/>
      <c r="AD17" s="115" t="s">
        <v>413</v>
      </c>
      <c r="AE17" s="46"/>
      <c r="AF17" s="47"/>
      <c r="AG17" s="53"/>
      <c r="AH17" s="83" t="s">
        <v>416</v>
      </c>
      <c r="AI17" s="46"/>
      <c r="AJ17" s="46"/>
      <c r="AK17" s="46"/>
      <c r="AL17" s="46"/>
      <c r="AM17" s="46"/>
      <c r="AN17" s="47"/>
      <c r="AO17" s="83" t="s">
        <v>417</v>
      </c>
      <c r="AP17" s="47"/>
      <c r="AQ17" s="83" t="s">
        <v>416</v>
      </c>
      <c r="AR17" s="46"/>
      <c r="AS17" s="46"/>
      <c r="AT17" s="46"/>
      <c r="AU17" s="46"/>
      <c r="AV17" s="46"/>
      <c r="AW17" s="47"/>
      <c r="AX17" s="83" t="s">
        <v>417</v>
      </c>
      <c r="AY17" s="47"/>
      <c r="AZ17" s="83" t="s">
        <v>416</v>
      </c>
      <c r="BA17" s="46"/>
      <c r="BB17" s="46"/>
      <c r="BC17" s="46"/>
      <c r="BD17" s="46"/>
      <c r="BE17" s="46"/>
      <c r="BF17" s="47"/>
      <c r="BG17" s="83" t="s">
        <v>417</v>
      </c>
      <c r="BH17" s="47"/>
      <c r="BI17" s="83" t="s">
        <v>416</v>
      </c>
      <c r="BJ17" s="46"/>
      <c r="BK17" s="46"/>
      <c r="BL17" s="46"/>
      <c r="BM17" s="46"/>
      <c r="BN17" s="46"/>
      <c r="BO17" s="47"/>
      <c r="BP17" s="83" t="s">
        <v>417</v>
      </c>
      <c r="BQ17" s="47"/>
      <c r="BR17" s="53"/>
      <c r="BS17" s="76"/>
      <c r="BT17" s="50"/>
      <c r="BU17" s="77" t="s">
        <v>5</v>
      </c>
      <c r="BV17" s="46"/>
      <c r="BW17" s="46"/>
      <c r="BX17" s="46"/>
      <c r="BY17" s="46"/>
      <c r="BZ17" s="47"/>
      <c r="CA17" s="78" t="str">
        <f>VLOOKUP(BU17,'缺陷 3xx'!B:D,3,FALSE)</f>
        <v>-</v>
      </c>
      <c r="CB17" s="49"/>
      <c r="CC17" s="49"/>
      <c r="CD17" s="49"/>
      <c r="CE17" s="49"/>
      <c r="CF17" s="49"/>
      <c r="CG17" s="49"/>
      <c r="CH17" s="49"/>
      <c r="CI17" s="49"/>
      <c r="CJ17" s="49"/>
      <c r="CK17" s="49"/>
      <c r="CL17" s="49"/>
      <c r="CM17" s="49"/>
      <c r="CN17" s="50"/>
      <c r="CO17" s="116"/>
      <c r="CP17" s="49"/>
      <c r="CQ17" s="49"/>
      <c r="CR17" s="49"/>
      <c r="CS17" s="49"/>
      <c r="CT17" s="50"/>
      <c r="CU17" s="141"/>
      <c r="CV17" s="49"/>
      <c r="CW17" s="49"/>
      <c r="CX17" s="49"/>
      <c r="CY17" s="49"/>
      <c r="CZ17" s="49"/>
      <c r="DA17" s="49"/>
      <c r="DB17" s="49"/>
      <c r="DC17" s="49"/>
      <c r="DD17" s="49"/>
      <c r="DE17" s="49"/>
      <c r="DF17" s="49"/>
      <c r="DG17" s="49"/>
      <c r="DH17" s="49"/>
      <c r="DI17" s="49"/>
      <c r="DJ17" s="50"/>
      <c r="DK17" s="53"/>
      <c r="DL17" s="43"/>
      <c r="DM17" s="43"/>
      <c r="DN17" s="43"/>
      <c r="DO17" s="43"/>
      <c r="DP17" s="43"/>
      <c r="DQ17" s="43"/>
      <c r="DR17" s="43"/>
      <c r="DS17" s="43"/>
      <c r="DT17" s="43"/>
      <c r="DU17" s="43"/>
      <c r="DV17" s="43"/>
      <c r="DW17" s="43"/>
      <c r="DX17" s="43"/>
      <c r="DY17" s="43"/>
      <c r="DZ17" s="43"/>
      <c r="EA17" s="43"/>
      <c r="EB17" s="43"/>
      <c r="EC17" s="43"/>
      <c r="ED17" s="43"/>
      <c r="EE17" s="43"/>
      <c r="EF17" s="43"/>
      <c r="EG17" s="43"/>
      <c r="EH17" s="43"/>
      <c r="EI17" s="43"/>
      <c r="EJ17" s="43"/>
      <c r="EK17" s="43"/>
      <c r="EL17" s="43"/>
      <c r="EM17" s="43"/>
      <c r="EN17" s="43"/>
      <c r="EO17" s="43"/>
      <c r="EP17" s="43"/>
      <c r="EQ17" s="43"/>
      <c r="ER17" s="43"/>
      <c r="ES17" s="43"/>
      <c r="ET17" s="43"/>
      <c r="EU17" s="43"/>
      <c r="EV17" s="43"/>
      <c r="EW17" s="43"/>
      <c r="EX17" s="43"/>
      <c r="EY17" s="43"/>
      <c r="EZ17" s="43"/>
      <c r="FA17" s="43"/>
      <c r="FB17" s="43"/>
      <c r="FC17" s="43"/>
      <c r="FD17" s="43"/>
      <c r="FE17" s="43"/>
      <c r="FF17" s="43"/>
      <c r="FG17" s="43"/>
      <c r="FH17" s="43"/>
      <c r="FI17" s="43"/>
      <c r="FJ17" s="43"/>
      <c r="FK17" s="43"/>
      <c r="FL17" s="43"/>
      <c r="FM17" s="43"/>
      <c r="FN17" s="43"/>
      <c r="FO17" s="43"/>
      <c r="FP17" s="43"/>
      <c r="FQ17" s="43"/>
      <c r="FR17" s="43"/>
      <c r="FS17" s="43"/>
      <c r="FT17" s="43"/>
      <c r="FU17" s="43"/>
      <c r="FV17" s="43"/>
      <c r="FW17" s="43"/>
      <c r="FX17" s="43"/>
      <c r="FY17" s="43"/>
      <c r="FZ17" s="43"/>
      <c r="GA17" s="43"/>
      <c r="GB17" s="43"/>
      <c r="GC17" s="43"/>
      <c r="GD17" s="43"/>
      <c r="GE17" s="43"/>
      <c r="GF17" s="43"/>
      <c r="GG17" s="43"/>
      <c r="GH17" s="43"/>
      <c r="GI17" s="43"/>
      <c r="GJ17" s="43"/>
      <c r="GK17" s="43"/>
      <c r="GL17" s="43"/>
      <c r="GM17" s="43"/>
      <c r="GN17" s="43"/>
      <c r="GO17" s="43"/>
      <c r="GP17" s="43"/>
      <c r="GQ17" s="43"/>
      <c r="GR17" s="43"/>
      <c r="GS17" s="43"/>
      <c r="GT17" s="43"/>
      <c r="GU17" s="43"/>
      <c r="GV17" s="43"/>
      <c r="GW17" s="43"/>
    </row>
    <row r="18" ht="15.0" customHeight="1">
      <c r="A18" s="44"/>
      <c r="B18" s="118" t="s">
        <v>420</v>
      </c>
      <c r="C18" s="119" t="s">
        <v>421</v>
      </c>
      <c r="D18" s="46"/>
      <c r="E18" s="47"/>
      <c r="F18" s="120">
        <v>2.0</v>
      </c>
      <c r="G18" s="47"/>
      <c r="H18" s="121"/>
      <c r="I18" s="47"/>
      <c r="J18" s="122"/>
      <c r="K18" s="47"/>
      <c r="L18" s="122"/>
      <c r="M18" s="47"/>
      <c r="N18" s="122"/>
      <c r="O18" s="47"/>
      <c r="P18" s="123"/>
      <c r="Q18" s="47"/>
      <c r="R18" s="123"/>
      <c r="S18" s="47"/>
      <c r="T18" s="124"/>
      <c r="U18" s="47"/>
      <c r="V18" s="125">
        <f t="shared" ref="V18:V26" si="2">SUM(F18:U18)</f>
        <v>2</v>
      </c>
      <c r="W18" s="47"/>
      <c r="X18" s="126">
        <f t="shared" ref="X18:X26" si="3">QUOTIENT((V18-1),5)</f>
        <v>0</v>
      </c>
      <c r="Y18" s="46"/>
      <c r="Z18" s="47"/>
      <c r="AA18" s="71"/>
      <c r="AB18" s="46"/>
      <c r="AC18" s="47"/>
      <c r="AD18" s="125">
        <f t="shared" ref="AD18:AD26" si="4">SUM(X18:AB18)</f>
        <v>0</v>
      </c>
      <c r="AE18" s="46"/>
      <c r="AF18" s="47"/>
      <c r="AG18" s="53"/>
      <c r="AH18" s="90"/>
      <c r="AI18" s="46"/>
      <c r="AJ18" s="46"/>
      <c r="AK18" s="46"/>
      <c r="AL18" s="46"/>
      <c r="AM18" s="46"/>
      <c r="AN18" s="47"/>
      <c r="AO18" s="90"/>
      <c r="AP18" s="47"/>
      <c r="AQ18" s="127"/>
      <c r="AR18" s="46"/>
      <c r="AS18" s="46"/>
      <c r="AT18" s="46"/>
      <c r="AU18" s="46"/>
      <c r="AV18" s="46"/>
      <c r="AW18" s="47"/>
      <c r="AX18" s="127"/>
      <c r="AY18" s="47"/>
      <c r="AZ18" s="90"/>
      <c r="BA18" s="46"/>
      <c r="BB18" s="46"/>
      <c r="BC18" s="46"/>
      <c r="BD18" s="46"/>
      <c r="BE18" s="46"/>
      <c r="BF18" s="47"/>
      <c r="BG18" s="91"/>
      <c r="BH18" s="47"/>
      <c r="BI18" s="127"/>
      <c r="BJ18" s="46"/>
      <c r="BK18" s="46"/>
      <c r="BL18" s="46"/>
      <c r="BM18" s="46"/>
      <c r="BN18" s="46"/>
      <c r="BO18" s="47"/>
      <c r="BP18" s="127"/>
      <c r="BQ18" s="47"/>
      <c r="BR18" s="53"/>
      <c r="BS18" s="70"/>
      <c r="BT18" s="58"/>
      <c r="BU18" s="88" t="s">
        <v>362</v>
      </c>
      <c r="BV18" s="46"/>
      <c r="BW18" s="46"/>
      <c r="BX18" s="46"/>
      <c r="BY18" s="46"/>
      <c r="BZ18" s="47"/>
      <c r="CA18" s="70"/>
      <c r="CB18" s="57"/>
      <c r="CC18" s="57"/>
      <c r="CD18" s="57"/>
      <c r="CE18" s="57"/>
      <c r="CF18" s="57"/>
      <c r="CG18" s="57"/>
      <c r="CH18" s="57"/>
      <c r="CI18" s="57"/>
      <c r="CJ18" s="57"/>
      <c r="CK18" s="57"/>
      <c r="CL18" s="57"/>
      <c r="CM18" s="57"/>
      <c r="CN18" s="58"/>
      <c r="CO18" s="70"/>
      <c r="CP18" s="57"/>
      <c r="CQ18" s="57"/>
      <c r="CR18" s="57"/>
      <c r="CS18" s="57"/>
      <c r="CT18" s="58"/>
      <c r="CU18" s="70"/>
      <c r="CV18" s="57"/>
      <c r="CW18" s="57"/>
      <c r="CX18" s="57"/>
      <c r="CY18" s="57"/>
      <c r="CZ18" s="57"/>
      <c r="DA18" s="57"/>
      <c r="DB18" s="57"/>
      <c r="DC18" s="57"/>
      <c r="DD18" s="57"/>
      <c r="DE18" s="57"/>
      <c r="DF18" s="57"/>
      <c r="DG18" s="57"/>
      <c r="DH18" s="57"/>
      <c r="DI18" s="57"/>
      <c r="DJ18" s="58"/>
      <c r="DK18" s="53"/>
      <c r="DL18" s="128"/>
      <c r="DM18" s="128"/>
      <c r="DN18" s="128"/>
      <c r="DO18" s="128"/>
      <c r="DP18" s="128"/>
      <c r="DQ18" s="128"/>
      <c r="DR18" s="128"/>
      <c r="DS18" s="128"/>
      <c r="DT18" s="128"/>
      <c r="DU18" s="43"/>
      <c r="DV18" s="43"/>
      <c r="DW18" s="43"/>
      <c r="DX18" s="43"/>
      <c r="DY18" s="43"/>
      <c r="DZ18" s="43"/>
      <c r="EA18" s="43"/>
      <c r="EB18" s="43"/>
      <c r="EC18" s="43"/>
      <c r="ED18" s="43"/>
      <c r="EE18" s="43"/>
      <c r="EF18" s="43"/>
      <c r="EG18" s="43"/>
      <c r="EH18" s="43"/>
      <c r="EI18" s="43"/>
      <c r="EJ18" s="43"/>
      <c r="EK18" s="43"/>
      <c r="EL18" s="43"/>
      <c r="EM18" s="43"/>
      <c r="EN18" s="43"/>
      <c r="EO18" s="43"/>
      <c r="EP18" s="43"/>
      <c r="EQ18" s="43"/>
      <c r="ER18" s="43"/>
      <c r="ES18" s="43"/>
      <c r="ET18" s="43"/>
      <c r="EU18" s="43"/>
      <c r="EV18" s="43"/>
      <c r="EW18" s="43"/>
      <c r="EX18" s="43"/>
      <c r="EY18" s="43"/>
      <c r="EZ18" s="43"/>
      <c r="FA18" s="43"/>
      <c r="FB18" s="43"/>
      <c r="FC18" s="43"/>
      <c r="FD18" s="43"/>
      <c r="FE18" s="43"/>
      <c r="FF18" s="43"/>
      <c r="FG18" s="43"/>
      <c r="FH18" s="43"/>
      <c r="FI18" s="43"/>
      <c r="FJ18" s="43"/>
      <c r="FK18" s="43"/>
      <c r="FL18" s="43"/>
      <c r="FM18" s="43"/>
      <c r="FN18" s="43"/>
      <c r="FO18" s="43"/>
      <c r="FP18" s="43"/>
      <c r="FQ18" s="43"/>
      <c r="FR18" s="43"/>
      <c r="FS18" s="43"/>
      <c r="FT18" s="43"/>
      <c r="FU18" s="43"/>
      <c r="FV18" s="43"/>
      <c r="FW18" s="43"/>
      <c r="FX18" s="43"/>
      <c r="FY18" s="43"/>
      <c r="FZ18" s="43"/>
      <c r="GA18" s="43"/>
      <c r="GB18" s="43"/>
      <c r="GC18" s="43"/>
      <c r="GD18" s="43"/>
      <c r="GE18" s="43"/>
      <c r="GF18" s="43"/>
      <c r="GG18" s="43"/>
      <c r="GH18" s="43"/>
      <c r="GI18" s="43"/>
      <c r="GJ18" s="43"/>
      <c r="GK18" s="43"/>
      <c r="GL18" s="43"/>
      <c r="GM18" s="43"/>
      <c r="GN18" s="43"/>
      <c r="GO18" s="43"/>
      <c r="GP18" s="43"/>
      <c r="GQ18" s="43"/>
      <c r="GR18" s="43"/>
      <c r="GS18" s="43"/>
      <c r="GT18" s="43"/>
      <c r="GU18" s="43"/>
      <c r="GV18" s="43"/>
      <c r="GW18" s="43"/>
    </row>
    <row r="19" ht="15.0" customHeight="1">
      <c r="A19" s="44"/>
      <c r="B19" s="129"/>
      <c r="C19" s="119" t="s">
        <v>424</v>
      </c>
      <c r="D19" s="46"/>
      <c r="E19" s="47"/>
      <c r="F19" s="120">
        <v>2.0</v>
      </c>
      <c r="G19" s="47"/>
      <c r="H19" s="121"/>
      <c r="I19" s="47"/>
      <c r="J19" s="122"/>
      <c r="K19" s="47"/>
      <c r="L19" s="122"/>
      <c r="M19" s="47"/>
      <c r="N19" s="123"/>
      <c r="O19" s="47"/>
      <c r="P19" s="122"/>
      <c r="Q19" s="47"/>
      <c r="R19" s="123"/>
      <c r="S19" s="47"/>
      <c r="T19" s="130"/>
      <c r="U19" s="47"/>
      <c r="V19" s="125">
        <f t="shared" si="2"/>
        <v>2</v>
      </c>
      <c r="W19" s="47"/>
      <c r="X19" s="126">
        <f t="shared" si="3"/>
        <v>0</v>
      </c>
      <c r="Y19" s="46"/>
      <c r="Z19" s="47"/>
      <c r="AA19" s="71"/>
      <c r="AB19" s="46"/>
      <c r="AC19" s="47"/>
      <c r="AD19" s="125">
        <f t="shared" si="4"/>
        <v>0</v>
      </c>
      <c r="AE19" s="46"/>
      <c r="AF19" s="47"/>
      <c r="AG19" s="53"/>
      <c r="AH19" s="90"/>
      <c r="AI19" s="46"/>
      <c r="AJ19" s="46"/>
      <c r="AK19" s="46"/>
      <c r="AL19" s="46"/>
      <c r="AM19" s="46"/>
      <c r="AN19" s="47"/>
      <c r="AO19" s="90"/>
      <c r="AP19" s="47"/>
      <c r="AQ19" s="127"/>
      <c r="AR19" s="46"/>
      <c r="AS19" s="46"/>
      <c r="AT19" s="46"/>
      <c r="AU19" s="46"/>
      <c r="AV19" s="46"/>
      <c r="AW19" s="47"/>
      <c r="AX19" s="127"/>
      <c r="AY19" s="47"/>
      <c r="AZ19" s="91"/>
      <c r="BA19" s="46"/>
      <c r="BB19" s="46"/>
      <c r="BC19" s="46"/>
      <c r="BD19" s="46"/>
      <c r="BE19" s="46"/>
      <c r="BF19" s="47"/>
      <c r="BG19" s="91"/>
      <c r="BH19" s="47"/>
      <c r="BI19" s="127"/>
      <c r="BJ19" s="46"/>
      <c r="BK19" s="46"/>
      <c r="BL19" s="46"/>
      <c r="BM19" s="46"/>
      <c r="BN19" s="46"/>
      <c r="BO19" s="47"/>
      <c r="BP19" s="127"/>
      <c r="BQ19" s="47"/>
      <c r="BR19" s="53"/>
      <c r="BS19" s="76"/>
      <c r="BT19" s="50"/>
      <c r="BU19" s="77" t="s">
        <v>5</v>
      </c>
      <c r="BV19" s="46"/>
      <c r="BW19" s="46"/>
      <c r="BX19" s="46"/>
      <c r="BY19" s="46"/>
      <c r="BZ19" s="47"/>
      <c r="CA19" s="78" t="str">
        <f>VLOOKUP(BU19,'缺陷 3xx'!B:D,3,FALSE)</f>
        <v>-</v>
      </c>
      <c r="CB19" s="49"/>
      <c r="CC19" s="49"/>
      <c r="CD19" s="49"/>
      <c r="CE19" s="49"/>
      <c r="CF19" s="49"/>
      <c r="CG19" s="49"/>
      <c r="CH19" s="49"/>
      <c r="CI19" s="49"/>
      <c r="CJ19" s="49"/>
      <c r="CK19" s="49"/>
      <c r="CL19" s="49"/>
      <c r="CM19" s="49"/>
      <c r="CN19" s="50"/>
      <c r="CO19" s="116"/>
      <c r="CP19" s="49"/>
      <c r="CQ19" s="49"/>
      <c r="CR19" s="49"/>
      <c r="CS19" s="49"/>
      <c r="CT19" s="50"/>
      <c r="CU19" s="167"/>
      <c r="CV19" s="49"/>
      <c r="CW19" s="49"/>
      <c r="CX19" s="49"/>
      <c r="CY19" s="49"/>
      <c r="CZ19" s="49"/>
      <c r="DA19" s="49"/>
      <c r="DB19" s="49"/>
      <c r="DC19" s="49"/>
      <c r="DD19" s="49"/>
      <c r="DE19" s="49"/>
      <c r="DF19" s="49"/>
      <c r="DG19" s="49"/>
      <c r="DH19" s="49"/>
      <c r="DI19" s="49"/>
      <c r="DJ19" s="50"/>
      <c r="DK19" s="53"/>
      <c r="DL19" s="128"/>
      <c r="DM19" s="128"/>
      <c r="DN19" s="128"/>
      <c r="DO19" s="128"/>
      <c r="DP19" s="128"/>
      <c r="DQ19" s="128"/>
      <c r="DR19" s="128"/>
      <c r="DS19" s="128"/>
      <c r="DT19" s="128"/>
      <c r="DU19" s="128"/>
      <c r="DV19" s="128"/>
      <c r="DW19" s="128"/>
      <c r="DX19" s="128"/>
      <c r="DY19" s="128"/>
      <c r="DZ19" s="128"/>
      <c r="EA19" s="128"/>
      <c r="EB19" s="128"/>
      <c r="EC19" s="43"/>
      <c r="ED19" s="43"/>
      <c r="EE19" s="43"/>
      <c r="EF19" s="43"/>
      <c r="EG19" s="43"/>
      <c r="EH19" s="43"/>
      <c r="EI19" s="43"/>
      <c r="EJ19" s="43"/>
      <c r="EK19" s="43"/>
      <c r="EL19" s="43"/>
      <c r="EM19" s="43"/>
      <c r="EN19" s="43"/>
      <c r="EO19" s="43"/>
      <c r="EP19" s="43"/>
      <c r="EQ19" s="43"/>
      <c r="ER19" s="43"/>
      <c r="ES19" s="43"/>
      <c r="ET19" s="43"/>
      <c r="EU19" s="43"/>
      <c r="EV19" s="43"/>
      <c r="EW19" s="43"/>
      <c r="EX19" s="43"/>
      <c r="EY19" s="43"/>
      <c r="EZ19" s="43"/>
      <c r="FA19" s="43"/>
      <c r="FB19" s="43"/>
      <c r="FC19" s="43"/>
      <c r="FD19" s="43"/>
      <c r="FE19" s="43"/>
      <c r="FF19" s="43"/>
      <c r="FG19" s="43"/>
      <c r="FH19" s="43"/>
      <c r="FI19" s="43"/>
      <c r="FJ19" s="43"/>
      <c r="FK19" s="43"/>
      <c r="FL19" s="43"/>
      <c r="FM19" s="43"/>
      <c r="FN19" s="43"/>
      <c r="FO19" s="43"/>
      <c r="FP19" s="43"/>
      <c r="FQ19" s="43"/>
      <c r="FR19" s="43"/>
      <c r="FS19" s="43"/>
      <c r="FT19" s="43"/>
      <c r="FU19" s="43"/>
      <c r="FV19" s="43"/>
      <c r="FW19" s="43"/>
      <c r="FX19" s="43"/>
      <c r="FY19" s="43"/>
      <c r="FZ19" s="43"/>
      <c r="GA19" s="43"/>
      <c r="GB19" s="43"/>
      <c r="GC19" s="43"/>
      <c r="GD19" s="43"/>
      <c r="GE19" s="43"/>
      <c r="GF19" s="43"/>
      <c r="GG19" s="43"/>
      <c r="GH19" s="43"/>
      <c r="GI19" s="43"/>
      <c r="GJ19" s="43"/>
      <c r="GK19" s="43"/>
      <c r="GL19" s="43"/>
      <c r="GM19" s="43"/>
      <c r="GN19" s="43"/>
      <c r="GO19" s="43"/>
      <c r="GP19" s="43"/>
      <c r="GQ19" s="43"/>
      <c r="GR19" s="43"/>
      <c r="GS19" s="43"/>
      <c r="GT19" s="43"/>
      <c r="GU19" s="43"/>
      <c r="GV19" s="43"/>
      <c r="GW19" s="43"/>
    </row>
    <row r="20" ht="15.0" customHeight="1">
      <c r="A20" s="44"/>
      <c r="B20" s="132"/>
      <c r="C20" s="133" t="s">
        <v>428</v>
      </c>
      <c r="D20" s="49"/>
      <c r="E20" s="50"/>
      <c r="F20" s="134">
        <v>2.0</v>
      </c>
      <c r="G20" s="50"/>
      <c r="H20" s="135"/>
      <c r="I20" s="50"/>
      <c r="J20" s="136"/>
      <c r="K20" s="50"/>
      <c r="L20" s="136"/>
      <c r="M20" s="50"/>
      <c r="N20" s="137"/>
      <c r="O20" s="50"/>
      <c r="P20" s="137"/>
      <c r="Q20" s="50"/>
      <c r="R20" s="136"/>
      <c r="S20" s="50"/>
      <c r="T20" s="138"/>
      <c r="U20" s="50"/>
      <c r="V20" s="139">
        <f t="shared" si="2"/>
        <v>2</v>
      </c>
      <c r="W20" s="50"/>
      <c r="X20" s="140">
        <f t="shared" si="3"/>
        <v>0</v>
      </c>
      <c r="Y20" s="49"/>
      <c r="Z20" s="50"/>
      <c r="AA20" s="48"/>
      <c r="AB20" s="49"/>
      <c r="AC20" s="50"/>
      <c r="AD20" s="139">
        <f t="shared" si="4"/>
        <v>0</v>
      </c>
      <c r="AE20" s="49"/>
      <c r="AF20" s="50"/>
      <c r="AG20" s="53"/>
      <c r="AH20" s="90"/>
      <c r="AI20" s="46"/>
      <c r="AJ20" s="46"/>
      <c r="AK20" s="46"/>
      <c r="AL20" s="46"/>
      <c r="AM20" s="46"/>
      <c r="AN20" s="47"/>
      <c r="AO20" s="90"/>
      <c r="AP20" s="47"/>
      <c r="AQ20" s="127"/>
      <c r="AR20" s="46"/>
      <c r="AS20" s="46"/>
      <c r="AT20" s="46"/>
      <c r="AU20" s="46"/>
      <c r="AV20" s="46"/>
      <c r="AW20" s="47"/>
      <c r="AX20" s="127"/>
      <c r="AY20" s="47"/>
      <c r="AZ20" s="91"/>
      <c r="BA20" s="46"/>
      <c r="BB20" s="46"/>
      <c r="BC20" s="46"/>
      <c r="BD20" s="46"/>
      <c r="BE20" s="46"/>
      <c r="BF20" s="47"/>
      <c r="BG20" s="91"/>
      <c r="BH20" s="47"/>
      <c r="BI20" s="127"/>
      <c r="BJ20" s="46"/>
      <c r="BK20" s="46"/>
      <c r="BL20" s="46"/>
      <c r="BM20" s="46"/>
      <c r="BN20" s="46"/>
      <c r="BO20" s="47"/>
      <c r="BP20" s="127"/>
      <c r="BQ20" s="47"/>
      <c r="BR20" s="53"/>
      <c r="BS20" s="70"/>
      <c r="BT20" s="58"/>
      <c r="BU20" s="88" t="s">
        <v>362</v>
      </c>
      <c r="BV20" s="46"/>
      <c r="BW20" s="46"/>
      <c r="BX20" s="46"/>
      <c r="BY20" s="46"/>
      <c r="BZ20" s="47"/>
      <c r="CA20" s="70"/>
      <c r="CB20" s="57"/>
      <c r="CC20" s="57"/>
      <c r="CD20" s="57"/>
      <c r="CE20" s="57"/>
      <c r="CF20" s="57"/>
      <c r="CG20" s="57"/>
      <c r="CH20" s="57"/>
      <c r="CI20" s="57"/>
      <c r="CJ20" s="57"/>
      <c r="CK20" s="57"/>
      <c r="CL20" s="57"/>
      <c r="CM20" s="57"/>
      <c r="CN20" s="58"/>
      <c r="CO20" s="70"/>
      <c r="CP20" s="57"/>
      <c r="CQ20" s="57"/>
      <c r="CR20" s="57"/>
      <c r="CS20" s="57"/>
      <c r="CT20" s="58"/>
      <c r="CU20" s="70"/>
      <c r="CV20" s="57"/>
      <c r="CW20" s="57"/>
      <c r="CX20" s="57"/>
      <c r="CY20" s="57"/>
      <c r="CZ20" s="57"/>
      <c r="DA20" s="57"/>
      <c r="DB20" s="57"/>
      <c r="DC20" s="57"/>
      <c r="DD20" s="57"/>
      <c r="DE20" s="57"/>
      <c r="DF20" s="57"/>
      <c r="DG20" s="57"/>
      <c r="DH20" s="57"/>
      <c r="DI20" s="57"/>
      <c r="DJ20" s="58"/>
      <c r="DK20" s="53"/>
      <c r="DL20" s="128"/>
      <c r="DM20" s="128"/>
      <c r="DN20" s="128"/>
      <c r="DO20" s="128"/>
      <c r="DP20" s="128"/>
      <c r="DQ20" s="128"/>
      <c r="DR20" s="128"/>
      <c r="DS20" s="128"/>
      <c r="DT20" s="128"/>
      <c r="DU20" s="128"/>
      <c r="DV20" s="128"/>
      <c r="DW20" s="128"/>
      <c r="DX20" s="128"/>
      <c r="DY20" s="128"/>
      <c r="DZ20" s="128"/>
      <c r="EA20" s="128"/>
      <c r="EB20" s="128"/>
      <c r="EC20" s="43"/>
      <c r="ED20" s="43"/>
      <c r="EE20" s="43"/>
      <c r="EF20" s="43"/>
      <c r="EG20" s="43"/>
      <c r="EH20" s="43"/>
      <c r="EI20" s="43"/>
      <c r="EJ20" s="43"/>
      <c r="EK20" s="43"/>
      <c r="EL20" s="43"/>
      <c r="EM20" s="43"/>
      <c r="EN20" s="43"/>
      <c r="EO20" s="43"/>
      <c r="EP20" s="43"/>
      <c r="EQ20" s="43"/>
      <c r="ER20" s="43"/>
      <c r="ES20" s="43"/>
      <c r="ET20" s="43"/>
      <c r="EU20" s="43"/>
      <c r="EV20" s="43"/>
      <c r="EW20" s="43"/>
      <c r="EX20" s="43"/>
      <c r="EY20" s="43"/>
      <c r="EZ20" s="43"/>
      <c r="FA20" s="43"/>
      <c r="FB20" s="43"/>
      <c r="FC20" s="43"/>
      <c r="FD20" s="43"/>
      <c r="FE20" s="43"/>
      <c r="FF20" s="43"/>
      <c r="FG20" s="43"/>
      <c r="FH20" s="43"/>
      <c r="FI20" s="43"/>
      <c r="FJ20" s="43"/>
      <c r="FK20" s="43"/>
      <c r="FL20" s="43"/>
      <c r="FM20" s="43"/>
      <c r="FN20" s="43"/>
      <c r="FO20" s="43"/>
      <c r="FP20" s="43"/>
      <c r="FQ20" s="43"/>
      <c r="FR20" s="43"/>
      <c r="FS20" s="43"/>
      <c r="FT20" s="43"/>
      <c r="FU20" s="43"/>
      <c r="FV20" s="43"/>
      <c r="FW20" s="43"/>
      <c r="FX20" s="43"/>
      <c r="FY20" s="43"/>
      <c r="FZ20" s="43"/>
      <c r="GA20" s="43"/>
      <c r="GB20" s="43"/>
      <c r="GC20" s="43"/>
      <c r="GD20" s="43"/>
      <c r="GE20" s="43"/>
      <c r="GF20" s="43"/>
      <c r="GG20" s="43"/>
      <c r="GH20" s="43"/>
      <c r="GI20" s="43"/>
      <c r="GJ20" s="43"/>
      <c r="GK20" s="43"/>
      <c r="GL20" s="43"/>
      <c r="GM20" s="43"/>
      <c r="GN20" s="43"/>
      <c r="GO20" s="43"/>
      <c r="GP20" s="43"/>
      <c r="GQ20" s="43"/>
      <c r="GR20" s="43"/>
      <c r="GS20" s="43"/>
      <c r="GT20" s="43"/>
      <c r="GU20" s="43"/>
      <c r="GV20" s="43"/>
      <c r="GW20" s="43"/>
    </row>
    <row r="21" ht="15.0" customHeight="1">
      <c r="A21" s="44"/>
      <c r="B21" s="142" t="s">
        <v>431</v>
      </c>
      <c r="C21" s="143" t="s">
        <v>432</v>
      </c>
      <c r="D21" s="144"/>
      <c r="E21" s="145"/>
      <c r="F21" s="146">
        <v>2.0</v>
      </c>
      <c r="G21" s="145"/>
      <c r="H21" s="147"/>
      <c r="I21" s="145"/>
      <c r="J21" s="148"/>
      <c r="K21" s="145"/>
      <c r="L21" s="149"/>
      <c r="M21" s="145"/>
      <c r="N21" s="148"/>
      <c r="O21" s="145"/>
      <c r="P21" s="149"/>
      <c r="Q21" s="145"/>
      <c r="R21" s="149"/>
      <c r="S21" s="145"/>
      <c r="T21" s="150"/>
      <c r="U21" s="145"/>
      <c r="V21" s="151">
        <f t="shared" si="2"/>
        <v>2</v>
      </c>
      <c r="W21" s="145"/>
      <c r="X21" s="152">
        <f t="shared" si="3"/>
        <v>0</v>
      </c>
      <c r="Y21" s="144"/>
      <c r="Z21" s="145"/>
      <c r="AA21" s="153"/>
      <c r="AB21" s="144"/>
      <c r="AC21" s="145"/>
      <c r="AD21" s="151">
        <f t="shared" si="4"/>
        <v>0</v>
      </c>
      <c r="AE21" s="144"/>
      <c r="AF21" s="145"/>
      <c r="AG21" s="53"/>
      <c r="AH21" s="90"/>
      <c r="AI21" s="46"/>
      <c r="AJ21" s="46"/>
      <c r="AK21" s="46"/>
      <c r="AL21" s="46"/>
      <c r="AM21" s="46"/>
      <c r="AN21" s="47"/>
      <c r="AO21" s="90"/>
      <c r="AP21" s="47"/>
      <c r="AQ21" s="127"/>
      <c r="AR21" s="46"/>
      <c r="AS21" s="46"/>
      <c r="AT21" s="46"/>
      <c r="AU21" s="46"/>
      <c r="AV21" s="46"/>
      <c r="AW21" s="47"/>
      <c r="AX21" s="127"/>
      <c r="AY21" s="47"/>
      <c r="AZ21" s="91"/>
      <c r="BA21" s="46"/>
      <c r="BB21" s="46"/>
      <c r="BC21" s="46"/>
      <c r="BD21" s="46"/>
      <c r="BE21" s="46"/>
      <c r="BF21" s="47"/>
      <c r="BG21" s="91"/>
      <c r="BH21" s="47"/>
      <c r="BI21" s="127"/>
      <c r="BJ21" s="46"/>
      <c r="BK21" s="46"/>
      <c r="BL21" s="46"/>
      <c r="BM21" s="46"/>
      <c r="BN21" s="46"/>
      <c r="BO21" s="47"/>
      <c r="BP21" s="127"/>
      <c r="BQ21" s="47"/>
      <c r="BR21" s="53"/>
      <c r="BS21" s="76"/>
      <c r="BT21" s="50"/>
      <c r="BU21" s="77" t="s">
        <v>5</v>
      </c>
      <c r="BV21" s="46"/>
      <c r="BW21" s="46"/>
      <c r="BX21" s="46"/>
      <c r="BY21" s="46"/>
      <c r="BZ21" s="47"/>
      <c r="CA21" s="78" t="str">
        <f>VLOOKUP(BU21,'缺陷 3xx'!B:D,3,FALSE)</f>
        <v>-</v>
      </c>
      <c r="CB21" s="49"/>
      <c r="CC21" s="49"/>
      <c r="CD21" s="49"/>
      <c r="CE21" s="49"/>
      <c r="CF21" s="49"/>
      <c r="CG21" s="49"/>
      <c r="CH21" s="49"/>
      <c r="CI21" s="49"/>
      <c r="CJ21" s="49"/>
      <c r="CK21" s="49"/>
      <c r="CL21" s="49"/>
      <c r="CM21" s="49"/>
      <c r="CN21" s="50"/>
      <c r="CO21" s="116"/>
      <c r="CP21" s="49"/>
      <c r="CQ21" s="49"/>
      <c r="CR21" s="49"/>
      <c r="CS21" s="49"/>
      <c r="CT21" s="50"/>
      <c r="CU21" s="167"/>
      <c r="CV21" s="49"/>
      <c r="CW21" s="49"/>
      <c r="CX21" s="49"/>
      <c r="CY21" s="49"/>
      <c r="CZ21" s="49"/>
      <c r="DA21" s="49"/>
      <c r="DB21" s="49"/>
      <c r="DC21" s="49"/>
      <c r="DD21" s="49"/>
      <c r="DE21" s="49"/>
      <c r="DF21" s="49"/>
      <c r="DG21" s="49"/>
      <c r="DH21" s="49"/>
      <c r="DI21" s="49"/>
      <c r="DJ21" s="50"/>
      <c r="DK21" s="53"/>
      <c r="DL21" s="128"/>
      <c r="DM21" s="128"/>
      <c r="DN21" s="128"/>
      <c r="DO21" s="128"/>
      <c r="DP21" s="128"/>
      <c r="DQ21" s="128"/>
      <c r="DR21" s="128"/>
      <c r="DS21" s="43"/>
      <c r="DT21" s="43"/>
      <c r="DU21" s="43"/>
      <c r="DV21" s="43"/>
      <c r="DW21" s="43"/>
      <c r="DX21" s="43"/>
      <c r="DY21" s="43"/>
      <c r="DZ21" s="43"/>
      <c r="EA21" s="43"/>
      <c r="EB21" s="43"/>
      <c r="EC21" s="43"/>
      <c r="ED21" s="43"/>
      <c r="EE21" s="43"/>
      <c r="EF21" s="43"/>
      <c r="EG21" s="43"/>
      <c r="EH21" s="43"/>
      <c r="EI21" s="43"/>
      <c r="EJ21" s="43"/>
      <c r="EK21" s="43"/>
      <c r="EL21" s="43"/>
      <c r="EM21" s="43"/>
      <c r="EN21" s="43"/>
      <c r="EO21" s="43"/>
      <c r="EP21" s="43"/>
      <c r="EQ21" s="43"/>
      <c r="ER21" s="43"/>
      <c r="ES21" s="43"/>
      <c r="ET21" s="43"/>
      <c r="EU21" s="43"/>
      <c r="EV21" s="43"/>
      <c r="EW21" s="43"/>
      <c r="EX21" s="43"/>
      <c r="EY21" s="43"/>
      <c r="EZ21" s="43"/>
      <c r="FA21" s="43"/>
      <c r="FB21" s="43"/>
      <c r="FC21" s="43"/>
      <c r="FD21" s="43"/>
      <c r="FE21" s="43"/>
      <c r="FF21" s="43"/>
      <c r="FG21" s="43"/>
      <c r="FH21" s="43"/>
      <c r="FI21" s="43"/>
      <c r="FJ21" s="43"/>
      <c r="FK21" s="43"/>
      <c r="FL21" s="43"/>
      <c r="FM21" s="43"/>
      <c r="FN21" s="43"/>
      <c r="FO21" s="43"/>
      <c r="FP21" s="43"/>
      <c r="FQ21" s="43"/>
      <c r="FR21" s="43"/>
      <c r="FS21" s="43"/>
      <c r="FT21" s="43"/>
      <c r="FU21" s="43"/>
      <c r="FV21" s="43"/>
      <c r="FW21" s="43"/>
      <c r="FX21" s="43"/>
      <c r="FY21" s="43"/>
      <c r="FZ21" s="43"/>
      <c r="GA21" s="43"/>
      <c r="GB21" s="43"/>
      <c r="GC21" s="43"/>
      <c r="GD21" s="43"/>
      <c r="GE21" s="43"/>
      <c r="GF21" s="43"/>
      <c r="GG21" s="43"/>
      <c r="GH21" s="43"/>
      <c r="GI21" s="43"/>
      <c r="GJ21" s="43"/>
      <c r="GK21" s="43"/>
      <c r="GL21" s="43"/>
      <c r="GM21" s="43"/>
      <c r="GN21" s="43"/>
      <c r="GO21" s="43"/>
      <c r="GP21" s="43"/>
      <c r="GQ21" s="43"/>
      <c r="GR21" s="43"/>
      <c r="GS21" s="43"/>
      <c r="GT21" s="43"/>
      <c r="GU21" s="43"/>
      <c r="GV21" s="43"/>
      <c r="GW21" s="43"/>
    </row>
    <row r="22" ht="15.0" customHeight="1">
      <c r="A22" s="44"/>
      <c r="B22" s="129"/>
      <c r="C22" s="119" t="s">
        <v>436</v>
      </c>
      <c r="D22" s="46"/>
      <c r="E22" s="47"/>
      <c r="F22" s="120">
        <v>2.0</v>
      </c>
      <c r="G22" s="47"/>
      <c r="H22" s="121"/>
      <c r="I22" s="47"/>
      <c r="J22" s="122"/>
      <c r="K22" s="47"/>
      <c r="L22" s="122"/>
      <c r="M22" s="47"/>
      <c r="N22" s="122"/>
      <c r="O22" s="47"/>
      <c r="P22" s="123"/>
      <c r="Q22" s="47"/>
      <c r="R22" s="136"/>
      <c r="S22" s="50"/>
      <c r="T22" s="130"/>
      <c r="U22" s="47"/>
      <c r="V22" s="125">
        <f t="shared" si="2"/>
        <v>2</v>
      </c>
      <c r="W22" s="47"/>
      <c r="X22" s="126">
        <f t="shared" si="3"/>
        <v>0</v>
      </c>
      <c r="Y22" s="46"/>
      <c r="Z22" s="47"/>
      <c r="AA22" s="155"/>
      <c r="AB22" s="46"/>
      <c r="AC22" s="47"/>
      <c r="AD22" s="125">
        <f t="shared" si="4"/>
        <v>0</v>
      </c>
      <c r="AE22" s="46"/>
      <c r="AF22" s="47"/>
      <c r="AG22" s="53"/>
      <c r="AH22" s="90"/>
      <c r="AI22" s="46"/>
      <c r="AJ22" s="46"/>
      <c r="AK22" s="46"/>
      <c r="AL22" s="46"/>
      <c r="AM22" s="46"/>
      <c r="AN22" s="47"/>
      <c r="AO22" s="90"/>
      <c r="AP22" s="47"/>
      <c r="AQ22" s="127"/>
      <c r="AR22" s="46"/>
      <c r="AS22" s="46"/>
      <c r="AT22" s="46"/>
      <c r="AU22" s="46"/>
      <c r="AV22" s="46"/>
      <c r="AW22" s="47"/>
      <c r="AX22" s="127"/>
      <c r="AY22" s="47"/>
      <c r="AZ22" s="91"/>
      <c r="BA22" s="46"/>
      <c r="BB22" s="46"/>
      <c r="BC22" s="46"/>
      <c r="BD22" s="46"/>
      <c r="BE22" s="46"/>
      <c r="BF22" s="47"/>
      <c r="BG22" s="91"/>
      <c r="BH22" s="47"/>
      <c r="BI22" s="127"/>
      <c r="BJ22" s="46"/>
      <c r="BK22" s="46"/>
      <c r="BL22" s="46"/>
      <c r="BM22" s="46"/>
      <c r="BN22" s="46"/>
      <c r="BO22" s="47"/>
      <c r="BP22" s="127"/>
      <c r="BQ22" s="47"/>
      <c r="BR22" s="53"/>
      <c r="BS22" s="70"/>
      <c r="BT22" s="58"/>
      <c r="BU22" s="88" t="s">
        <v>362</v>
      </c>
      <c r="BV22" s="46"/>
      <c r="BW22" s="46"/>
      <c r="BX22" s="46"/>
      <c r="BY22" s="46"/>
      <c r="BZ22" s="47"/>
      <c r="CA22" s="70"/>
      <c r="CB22" s="57"/>
      <c r="CC22" s="57"/>
      <c r="CD22" s="57"/>
      <c r="CE22" s="57"/>
      <c r="CF22" s="57"/>
      <c r="CG22" s="57"/>
      <c r="CH22" s="57"/>
      <c r="CI22" s="57"/>
      <c r="CJ22" s="57"/>
      <c r="CK22" s="57"/>
      <c r="CL22" s="57"/>
      <c r="CM22" s="57"/>
      <c r="CN22" s="58"/>
      <c r="CO22" s="70"/>
      <c r="CP22" s="57"/>
      <c r="CQ22" s="57"/>
      <c r="CR22" s="57"/>
      <c r="CS22" s="57"/>
      <c r="CT22" s="58"/>
      <c r="CU22" s="70"/>
      <c r="CV22" s="57"/>
      <c r="CW22" s="57"/>
      <c r="CX22" s="57"/>
      <c r="CY22" s="57"/>
      <c r="CZ22" s="57"/>
      <c r="DA22" s="57"/>
      <c r="DB22" s="57"/>
      <c r="DC22" s="57"/>
      <c r="DD22" s="57"/>
      <c r="DE22" s="57"/>
      <c r="DF22" s="57"/>
      <c r="DG22" s="57"/>
      <c r="DH22" s="57"/>
      <c r="DI22" s="57"/>
      <c r="DJ22" s="58"/>
      <c r="DK22" s="53"/>
      <c r="DL22" s="128"/>
      <c r="DM22" s="128"/>
      <c r="DN22" s="128"/>
      <c r="DO22" s="128"/>
      <c r="DP22" s="128"/>
      <c r="DQ22" s="128"/>
      <c r="DR22" s="128"/>
      <c r="DS22" s="43"/>
      <c r="DT22" s="43"/>
      <c r="DU22" s="43"/>
      <c r="DV22" s="43"/>
      <c r="DW22" s="43"/>
      <c r="DX22" s="43"/>
      <c r="DY22" s="43"/>
      <c r="DZ22" s="43"/>
      <c r="EA22" s="43"/>
      <c r="EB22" s="43"/>
      <c r="EC22" s="43"/>
      <c r="ED22" s="43"/>
      <c r="EE22" s="43"/>
      <c r="EF22" s="43"/>
      <c r="EG22" s="43"/>
      <c r="EH22" s="43"/>
      <c r="EI22" s="43"/>
      <c r="EJ22" s="43"/>
      <c r="EK22" s="43"/>
      <c r="EL22" s="43"/>
      <c r="EM22" s="43"/>
      <c r="EN22" s="43"/>
      <c r="EO22" s="43"/>
      <c r="EP22" s="43"/>
      <c r="EQ22" s="43"/>
      <c r="ER22" s="43"/>
      <c r="ES22" s="43"/>
      <c r="ET22" s="43"/>
      <c r="EU22" s="43"/>
      <c r="EV22" s="43"/>
      <c r="EW22" s="43"/>
      <c r="EX22" s="43"/>
      <c r="EY22" s="43"/>
      <c r="EZ22" s="43"/>
      <c r="FA22" s="43"/>
      <c r="FB22" s="43"/>
      <c r="FC22" s="43"/>
      <c r="FD22" s="43"/>
      <c r="FE22" s="43"/>
      <c r="FF22" s="43"/>
      <c r="FG22" s="43"/>
      <c r="FH22" s="43"/>
      <c r="FI22" s="43"/>
      <c r="FJ22" s="43"/>
      <c r="FK22" s="43"/>
      <c r="FL22" s="43"/>
      <c r="FM22" s="43"/>
      <c r="FN22" s="43"/>
      <c r="FO22" s="43"/>
      <c r="FP22" s="43"/>
      <c r="FQ22" s="43"/>
      <c r="FR22" s="43"/>
      <c r="FS22" s="43"/>
      <c r="FT22" s="43"/>
      <c r="FU22" s="43"/>
      <c r="FV22" s="43"/>
      <c r="FW22" s="43"/>
      <c r="FX22" s="43"/>
      <c r="FY22" s="43"/>
      <c r="FZ22" s="43"/>
      <c r="GA22" s="43"/>
      <c r="GB22" s="43"/>
      <c r="GC22" s="43"/>
      <c r="GD22" s="43"/>
      <c r="GE22" s="43"/>
      <c r="GF22" s="43"/>
      <c r="GG22" s="43"/>
      <c r="GH22" s="43"/>
      <c r="GI22" s="43"/>
      <c r="GJ22" s="43"/>
      <c r="GK22" s="43"/>
      <c r="GL22" s="43"/>
      <c r="GM22" s="43"/>
      <c r="GN22" s="43"/>
      <c r="GO22" s="43"/>
      <c r="GP22" s="43"/>
      <c r="GQ22" s="43"/>
      <c r="GR22" s="43"/>
      <c r="GS22" s="43"/>
      <c r="GT22" s="43"/>
      <c r="GU22" s="43"/>
      <c r="GV22" s="43"/>
      <c r="GW22" s="43"/>
    </row>
    <row r="23" ht="15.0" customHeight="1">
      <c r="A23" s="44"/>
      <c r="B23" s="156"/>
      <c r="C23" s="157" t="s">
        <v>439</v>
      </c>
      <c r="D23" s="158"/>
      <c r="E23" s="159"/>
      <c r="F23" s="160">
        <v>2.0</v>
      </c>
      <c r="G23" s="159"/>
      <c r="H23" s="161"/>
      <c r="I23" s="159"/>
      <c r="J23" s="162"/>
      <c r="K23" s="159"/>
      <c r="L23" s="163"/>
      <c r="M23" s="159"/>
      <c r="N23" s="163"/>
      <c r="O23" s="159"/>
      <c r="P23" s="162"/>
      <c r="Q23" s="159"/>
      <c r="R23" s="163"/>
      <c r="S23" s="159"/>
      <c r="T23" s="164"/>
      <c r="U23" s="159"/>
      <c r="V23" s="165">
        <f t="shared" si="2"/>
        <v>2</v>
      </c>
      <c r="W23" s="159"/>
      <c r="X23" s="166">
        <f t="shared" si="3"/>
        <v>0</v>
      </c>
      <c r="Y23" s="158"/>
      <c r="Z23" s="159"/>
      <c r="AA23" s="168"/>
      <c r="AB23" s="158"/>
      <c r="AC23" s="159"/>
      <c r="AD23" s="165">
        <f t="shared" si="4"/>
        <v>0</v>
      </c>
      <c r="AE23" s="158"/>
      <c r="AF23" s="159"/>
      <c r="AG23" s="53"/>
      <c r="AH23" s="90"/>
      <c r="AI23" s="46"/>
      <c r="AJ23" s="46"/>
      <c r="AK23" s="46"/>
      <c r="AL23" s="46"/>
      <c r="AM23" s="46"/>
      <c r="AN23" s="47"/>
      <c r="AO23" s="90"/>
      <c r="AP23" s="47"/>
      <c r="AQ23" s="127"/>
      <c r="AR23" s="46"/>
      <c r="AS23" s="46"/>
      <c r="AT23" s="46"/>
      <c r="AU23" s="46"/>
      <c r="AV23" s="46"/>
      <c r="AW23" s="47"/>
      <c r="AX23" s="127"/>
      <c r="AY23" s="47"/>
      <c r="AZ23" s="91"/>
      <c r="BA23" s="46"/>
      <c r="BB23" s="46"/>
      <c r="BC23" s="46"/>
      <c r="BD23" s="46"/>
      <c r="BE23" s="46"/>
      <c r="BF23" s="47"/>
      <c r="BG23" s="91"/>
      <c r="BH23" s="47"/>
      <c r="BI23" s="127"/>
      <c r="BJ23" s="46"/>
      <c r="BK23" s="46"/>
      <c r="BL23" s="46"/>
      <c r="BM23" s="46"/>
      <c r="BN23" s="46"/>
      <c r="BO23" s="47"/>
      <c r="BP23" s="127"/>
      <c r="BQ23" s="47"/>
      <c r="BR23" s="53"/>
      <c r="BS23" s="76"/>
      <c r="BT23" s="50"/>
      <c r="BU23" s="77" t="s">
        <v>5</v>
      </c>
      <c r="BV23" s="46"/>
      <c r="BW23" s="46"/>
      <c r="BX23" s="46"/>
      <c r="BY23" s="46"/>
      <c r="BZ23" s="47"/>
      <c r="CA23" s="78" t="str">
        <f>VLOOKUP(BU23,'缺陷 3xx'!B:D,3,FALSE)</f>
        <v>-</v>
      </c>
      <c r="CB23" s="49"/>
      <c r="CC23" s="49"/>
      <c r="CD23" s="49"/>
      <c r="CE23" s="49"/>
      <c r="CF23" s="49"/>
      <c r="CG23" s="49"/>
      <c r="CH23" s="49"/>
      <c r="CI23" s="49"/>
      <c r="CJ23" s="49"/>
      <c r="CK23" s="49"/>
      <c r="CL23" s="49"/>
      <c r="CM23" s="49"/>
      <c r="CN23" s="50"/>
      <c r="CO23" s="116"/>
      <c r="CP23" s="49"/>
      <c r="CQ23" s="49"/>
      <c r="CR23" s="49"/>
      <c r="CS23" s="49"/>
      <c r="CT23" s="50"/>
      <c r="CU23" s="167"/>
      <c r="CV23" s="49"/>
      <c r="CW23" s="49"/>
      <c r="CX23" s="49"/>
      <c r="CY23" s="49"/>
      <c r="CZ23" s="49"/>
      <c r="DA23" s="49"/>
      <c r="DB23" s="49"/>
      <c r="DC23" s="49"/>
      <c r="DD23" s="49"/>
      <c r="DE23" s="49"/>
      <c r="DF23" s="49"/>
      <c r="DG23" s="49"/>
      <c r="DH23" s="49"/>
      <c r="DI23" s="49"/>
      <c r="DJ23" s="50"/>
      <c r="DK23" s="53"/>
      <c r="DL23" s="43"/>
      <c r="DM23" s="43"/>
      <c r="DN23" s="43"/>
      <c r="DO23" s="43"/>
      <c r="DP23" s="43"/>
      <c r="DQ23" s="43"/>
      <c r="DR23" s="43"/>
      <c r="DS23" s="43"/>
      <c r="DT23" s="43"/>
      <c r="DU23" s="43"/>
      <c r="DV23" s="43"/>
      <c r="DW23" s="43"/>
      <c r="DX23" s="43"/>
      <c r="DY23" s="43"/>
      <c r="DZ23" s="43"/>
      <c r="EA23" s="43"/>
      <c r="EB23" s="43"/>
      <c r="EC23" s="43"/>
      <c r="ED23" s="43"/>
      <c r="EE23" s="43"/>
      <c r="EF23" s="43"/>
      <c r="EG23" s="43"/>
      <c r="EH23" s="43"/>
      <c r="EI23" s="43"/>
      <c r="EJ23" s="43"/>
      <c r="EK23" s="43"/>
      <c r="EL23" s="43"/>
      <c r="EM23" s="43"/>
      <c r="EN23" s="43"/>
      <c r="EO23" s="43"/>
      <c r="EP23" s="43"/>
      <c r="EQ23" s="43"/>
      <c r="ER23" s="43"/>
      <c r="ES23" s="43"/>
      <c r="ET23" s="43"/>
      <c r="EU23" s="43"/>
      <c r="EV23" s="43"/>
      <c r="EW23" s="43"/>
      <c r="EX23" s="43"/>
      <c r="EY23" s="43"/>
      <c r="EZ23" s="43"/>
      <c r="FA23" s="43"/>
      <c r="FB23" s="43"/>
      <c r="FC23" s="43"/>
      <c r="FD23" s="43"/>
      <c r="FE23" s="43"/>
      <c r="FF23" s="43"/>
      <c r="FG23" s="43"/>
      <c r="FH23" s="43"/>
      <c r="FI23" s="43"/>
      <c r="FJ23" s="43"/>
      <c r="FK23" s="43"/>
      <c r="FL23" s="43"/>
      <c r="FM23" s="43"/>
      <c r="FN23" s="43"/>
      <c r="FO23" s="43"/>
      <c r="FP23" s="43"/>
      <c r="FQ23" s="43"/>
      <c r="FR23" s="43"/>
      <c r="FS23" s="43"/>
      <c r="FT23" s="43"/>
      <c r="FU23" s="43"/>
      <c r="FV23" s="43"/>
      <c r="FW23" s="43"/>
      <c r="FX23" s="43"/>
      <c r="FY23" s="43"/>
      <c r="FZ23" s="43"/>
      <c r="GA23" s="43"/>
      <c r="GB23" s="43"/>
      <c r="GC23" s="43"/>
      <c r="GD23" s="43"/>
      <c r="GE23" s="43"/>
      <c r="GF23" s="43"/>
      <c r="GG23" s="43"/>
      <c r="GH23" s="43"/>
      <c r="GI23" s="43"/>
      <c r="GJ23" s="43"/>
      <c r="GK23" s="43"/>
      <c r="GL23" s="43"/>
      <c r="GM23" s="43"/>
      <c r="GN23" s="43"/>
      <c r="GO23" s="43"/>
      <c r="GP23" s="43"/>
      <c r="GQ23" s="43"/>
      <c r="GR23" s="43"/>
      <c r="GS23" s="43"/>
      <c r="GT23" s="43"/>
      <c r="GU23" s="43"/>
      <c r="GV23" s="43"/>
      <c r="GW23" s="43"/>
    </row>
    <row r="24" ht="15.0" customHeight="1">
      <c r="A24" s="44"/>
      <c r="B24" s="169" t="s">
        <v>444</v>
      </c>
      <c r="C24" s="170" t="s">
        <v>445</v>
      </c>
      <c r="D24" s="57"/>
      <c r="E24" s="58"/>
      <c r="F24" s="171">
        <v>2.0</v>
      </c>
      <c r="G24" s="58"/>
      <c r="H24" s="172"/>
      <c r="I24" s="58"/>
      <c r="J24" s="173"/>
      <c r="K24" s="58"/>
      <c r="L24" s="173"/>
      <c r="M24" s="58"/>
      <c r="N24" s="173"/>
      <c r="O24" s="58"/>
      <c r="P24" s="174"/>
      <c r="Q24" s="58"/>
      <c r="R24" s="174"/>
      <c r="S24" s="58"/>
      <c r="T24" s="175"/>
      <c r="U24" s="58"/>
      <c r="V24" s="176">
        <f t="shared" si="2"/>
        <v>2</v>
      </c>
      <c r="W24" s="58"/>
      <c r="X24" s="177">
        <f t="shared" si="3"/>
        <v>0</v>
      </c>
      <c r="Y24" s="57"/>
      <c r="Z24" s="58"/>
      <c r="AA24" s="178"/>
      <c r="AB24" s="57"/>
      <c r="AC24" s="58"/>
      <c r="AD24" s="176">
        <f t="shared" si="4"/>
        <v>0</v>
      </c>
      <c r="AE24" s="57"/>
      <c r="AF24" s="58"/>
      <c r="AG24" s="53"/>
      <c r="AH24" s="91"/>
      <c r="AI24" s="46"/>
      <c r="AJ24" s="46"/>
      <c r="AK24" s="46"/>
      <c r="AL24" s="46"/>
      <c r="AM24" s="46"/>
      <c r="AN24" s="47"/>
      <c r="AO24" s="91"/>
      <c r="AP24" s="47"/>
      <c r="AQ24" s="127"/>
      <c r="AR24" s="46"/>
      <c r="AS24" s="46"/>
      <c r="AT24" s="46"/>
      <c r="AU24" s="46"/>
      <c r="AV24" s="46"/>
      <c r="AW24" s="47"/>
      <c r="AX24" s="127"/>
      <c r="AY24" s="47"/>
      <c r="AZ24" s="91"/>
      <c r="BA24" s="46"/>
      <c r="BB24" s="46"/>
      <c r="BC24" s="46"/>
      <c r="BD24" s="46"/>
      <c r="BE24" s="46"/>
      <c r="BF24" s="47"/>
      <c r="BG24" s="91"/>
      <c r="BH24" s="47"/>
      <c r="BI24" s="127"/>
      <c r="BJ24" s="46"/>
      <c r="BK24" s="46"/>
      <c r="BL24" s="46"/>
      <c r="BM24" s="46"/>
      <c r="BN24" s="46"/>
      <c r="BO24" s="47"/>
      <c r="BP24" s="127"/>
      <c r="BQ24" s="47"/>
      <c r="BR24" s="53"/>
      <c r="BS24" s="70"/>
      <c r="BT24" s="58"/>
      <c r="BU24" s="88" t="s">
        <v>362</v>
      </c>
      <c r="BV24" s="46"/>
      <c r="BW24" s="46"/>
      <c r="BX24" s="46"/>
      <c r="BY24" s="46"/>
      <c r="BZ24" s="47"/>
      <c r="CA24" s="70"/>
      <c r="CB24" s="57"/>
      <c r="CC24" s="57"/>
      <c r="CD24" s="57"/>
      <c r="CE24" s="57"/>
      <c r="CF24" s="57"/>
      <c r="CG24" s="57"/>
      <c r="CH24" s="57"/>
      <c r="CI24" s="57"/>
      <c r="CJ24" s="57"/>
      <c r="CK24" s="57"/>
      <c r="CL24" s="57"/>
      <c r="CM24" s="57"/>
      <c r="CN24" s="58"/>
      <c r="CO24" s="70"/>
      <c r="CP24" s="57"/>
      <c r="CQ24" s="57"/>
      <c r="CR24" s="57"/>
      <c r="CS24" s="57"/>
      <c r="CT24" s="58"/>
      <c r="CU24" s="70"/>
      <c r="CV24" s="57"/>
      <c r="CW24" s="57"/>
      <c r="CX24" s="57"/>
      <c r="CY24" s="57"/>
      <c r="CZ24" s="57"/>
      <c r="DA24" s="57"/>
      <c r="DB24" s="57"/>
      <c r="DC24" s="57"/>
      <c r="DD24" s="57"/>
      <c r="DE24" s="57"/>
      <c r="DF24" s="57"/>
      <c r="DG24" s="57"/>
      <c r="DH24" s="57"/>
      <c r="DI24" s="57"/>
      <c r="DJ24" s="58"/>
      <c r="DK24" s="53"/>
      <c r="DL24" s="43"/>
      <c r="DM24" s="43"/>
      <c r="DN24" s="43"/>
      <c r="DO24" s="43"/>
      <c r="DP24" s="43"/>
      <c r="DQ24" s="43"/>
      <c r="DR24" s="43"/>
      <c r="DS24" s="43"/>
      <c r="DT24" s="43"/>
      <c r="DU24" s="43"/>
      <c r="DV24" s="43"/>
      <c r="DW24" s="43"/>
      <c r="DX24" s="43"/>
      <c r="DY24" s="43"/>
      <c r="DZ24" s="43"/>
      <c r="EA24" s="43"/>
      <c r="EB24" s="43"/>
      <c r="EC24" s="43"/>
      <c r="ED24" s="43"/>
      <c r="EE24" s="43"/>
      <c r="EF24" s="43"/>
      <c r="EG24" s="43"/>
      <c r="EH24" s="43"/>
      <c r="EI24" s="43"/>
      <c r="EJ24" s="43"/>
      <c r="EK24" s="43"/>
      <c r="EL24" s="43"/>
      <c r="EM24" s="43"/>
      <c r="EN24" s="43"/>
      <c r="EO24" s="43"/>
      <c r="EP24" s="43"/>
      <c r="EQ24" s="43"/>
      <c r="ER24" s="43"/>
      <c r="ES24" s="43"/>
      <c r="ET24" s="43"/>
      <c r="EU24" s="43"/>
      <c r="EV24" s="43"/>
      <c r="EW24" s="43"/>
      <c r="EX24" s="43"/>
      <c r="EY24" s="43"/>
      <c r="EZ24" s="43"/>
      <c r="FA24" s="43"/>
      <c r="FB24" s="43"/>
      <c r="FC24" s="43"/>
      <c r="FD24" s="43"/>
      <c r="FE24" s="43"/>
      <c r="FF24" s="43"/>
      <c r="FG24" s="43"/>
      <c r="FH24" s="43"/>
      <c r="FI24" s="43"/>
      <c r="FJ24" s="43"/>
      <c r="FK24" s="43"/>
      <c r="FL24" s="43"/>
      <c r="FM24" s="43"/>
      <c r="FN24" s="43"/>
      <c r="FO24" s="43"/>
      <c r="FP24" s="43"/>
      <c r="FQ24" s="43"/>
      <c r="FR24" s="43"/>
      <c r="FS24" s="43"/>
      <c r="FT24" s="43"/>
      <c r="FU24" s="43"/>
      <c r="FV24" s="43"/>
      <c r="FW24" s="43"/>
      <c r="FX24" s="43"/>
      <c r="FY24" s="43"/>
      <c r="FZ24" s="43"/>
      <c r="GA24" s="43"/>
      <c r="GB24" s="43"/>
      <c r="GC24" s="43"/>
      <c r="GD24" s="43"/>
      <c r="GE24" s="43"/>
      <c r="GF24" s="43"/>
      <c r="GG24" s="43"/>
      <c r="GH24" s="43"/>
      <c r="GI24" s="43"/>
      <c r="GJ24" s="43"/>
      <c r="GK24" s="43"/>
      <c r="GL24" s="43"/>
      <c r="GM24" s="43"/>
      <c r="GN24" s="43"/>
      <c r="GO24" s="43"/>
      <c r="GP24" s="43"/>
      <c r="GQ24" s="43"/>
      <c r="GR24" s="43"/>
      <c r="GS24" s="43"/>
      <c r="GT24" s="43"/>
      <c r="GU24" s="43"/>
      <c r="GV24" s="43"/>
      <c r="GW24" s="43"/>
    </row>
    <row r="25" ht="15.0" customHeight="1">
      <c r="A25" s="44"/>
      <c r="B25" s="129"/>
      <c r="C25" s="119" t="s">
        <v>446</v>
      </c>
      <c r="D25" s="46"/>
      <c r="E25" s="47"/>
      <c r="F25" s="120">
        <v>2.0</v>
      </c>
      <c r="G25" s="47"/>
      <c r="H25" s="179"/>
      <c r="I25" s="47"/>
      <c r="J25" s="122"/>
      <c r="K25" s="47"/>
      <c r="L25" s="122"/>
      <c r="M25" s="47"/>
      <c r="N25" s="122"/>
      <c r="O25" s="47"/>
      <c r="P25" s="123"/>
      <c r="Q25" s="47"/>
      <c r="R25" s="123"/>
      <c r="S25" s="47"/>
      <c r="T25" s="124"/>
      <c r="U25" s="47"/>
      <c r="V25" s="125">
        <f t="shared" si="2"/>
        <v>2</v>
      </c>
      <c r="W25" s="47"/>
      <c r="X25" s="126">
        <f t="shared" si="3"/>
        <v>0</v>
      </c>
      <c r="Y25" s="46"/>
      <c r="Z25" s="47"/>
      <c r="AA25" s="155"/>
      <c r="AB25" s="46"/>
      <c r="AC25" s="47"/>
      <c r="AD25" s="125">
        <f t="shared" si="4"/>
        <v>0</v>
      </c>
      <c r="AE25" s="46"/>
      <c r="AF25" s="47"/>
      <c r="AG25" s="53"/>
      <c r="AH25" s="91"/>
      <c r="AI25" s="46"/>
      <c r="AJ25" s="46"/>
      <c r="AK25" s="46"/>
      <c r="AL25" s="46"/>
      <c r="AM25" s="46"/>
      <c r="AN25" s="47"/>
      <c r="AO25" s="91"/>
      <c r="AP25" s="47"/>
      <c r="AQ25" s="127"/>
      <c r="AR25" s="46"/>
      <c r="AS25" s="46"/>
      <c r="AT25" s="46"/>
      <c r="AU25" s="46"/>
      <c r="AV25" s="46"/>
      <c r="AW25" s="47"/>
      <c r="AX25" s="127"/>
      <c r="AY25" s="47"/>
      <c r="AZ25" s="91"/>
      <c r="BA25" s="46"/>
      <c r="BB25" s="46"/>
      <c r="BC25" s="46"/>
      <c r="BD25" s="46"/>
      <c r="BE25" s="46"/>
      <c r="BF25" s="47"/>
      <c r="BG25" s="91"/>
      <c r="BH25" s="47"/>
      <c r="BI25" s="127"/>
      <c r="BJ25" s="46"/>
      <c r="BK25" s="46"/>
      <c r="BL25" s="46"/>
      <c r="BM25" s="46"/>
      <c r="BN25" s="46"/>
      <c r="BO25" s="47"/>
      <c r="BP25" s="127"/>
      <c r="BQ25" s="47"/>
      <c r="BR25" s="53"/>
      <c r="BS25" s="76"/>
      <c r="BT25" s="50"/>
      <c r="BU25" s="77" t="s">
        <v>5</v>
      </c>
      <c r="BV25" s="46"/>
      <c r="BW25" s="46"/>
      <c r="BX25" s="46"/>
      <c r="BY25" s="46"/>
      <c r="BZ25" s="47"/>
      <c r="CA25" s="78" t="str">
        <f>VLOOKUP(BU25,'缺陷 3xx'!B:D,3,FALSE)</f>
        <v>-</v>
      </c>
      <c r="CB25" s="49"/>
      <c r="CC25" s="49"/>
      <c r="CD25" s="49"/>
      <c r="CE25" s="49"/>
      <c r="CF25" s="49"/>
      <c r="CG25" s="49"/>
      <c r="CH25" s="49"/>
      <c r="CI25" s="49"/>
      <c r="CJ25" s="49"/>
      <c r="CK25" s="49"/>
      <c r="CL25" s="49"/>
      <c r="CM25" s="49"/>
      <c r="CN25" s="50"/>
      <c r="CO25" s="116"/>
      <c r="CP25" s="49"/>
      <c r="CQ25" s="49"/>
      <c r="CR25" s="49"/>
      <c r="CS25" s="49"/>
      <c r="CT25" s="50"/>
      <c r="CU25" s="116"/>
      <c r="CV25" s="49"/>
      <c r="CW25" s="49"/>
      <c r="CX25" s="49"/>
      <c r="CY25" s="49"/>
      <c r="CZ25" s="49"/>
      <c r="DA25" s="49"/>
      <c r="DB25" s="49"/>
      <c r="DC25" s="49"/>
      <c r="DD25" s="49"/>
      <c r="DE25" s="49"/>
      <c r="DF25" s="49"/>
      <c r="DG25" s="49"/>
      <c r="DH25" s="49"/>
      <c r="DI25" s="49"/>
      <c r="DJ25" s="50"/>
      <c r="DK25" s="53"/>
      <c r="DL25" s="43"/>
      <c r="DM25" s="43"/>
      <c r="DN25" s="43"/>
      <c r="DO25" s="43"/>
      <c r="DP25" s="43"/>
      <c r="DQ25" s="43"/>
      <c r="DR25" s="43"/>
      <c r="DS25" s="43"/>
      <c r="DT25" s="43"/>
      <c r="DU25" s="43"/>
      <c r="DV25" s="43"/>
      <c r="DW25" s="43"/>
      <c r="DX25" s="43"/>
      <c r="DY25" s="43"/>
      <c r="DZ25" s="43"/>
      <c r="EA25" s="43"/>
      <c r="EB25" s="43"/>
      <c r="EC25" s="43"/>
      <c r="ED25" s="43"/>
      <c r="EE25" s="43"/>
      <c r="EF25" s="43"/>
      <c r="EG25" s="43"/>
      <c r="EH25" s="43"/>
      <c r="EI25" s="43"/>
      <c r="EJ25" s="43"/>
      <c r="EK25" s="43"/>
      <c r="EL25" s="43"/>
      <c r="EM25" s="43"/>
      <c r="EN25" s="43"/>
      <c r="EO25" s="43"/>
      <c r="EP25" s="43"/>
      <c r="EQ25" s="43"/>
      <c r="ER25" s="43"/>
      <c r="ES25" s="43"/>
      <c r="ET25" s="43"/>
      <c r="EU25" s="43"/>
      <c r="EV25" s="43"/>
      <c r="EW25" s="43"/>
      <c r="EX25" s="43"/>
      <c r="EY25" s="43"/>
      <c r="EZ25" s="43"/>
      <c r="FA25" s="43"/>
      <c r="FB25" s="43"/>
      <c r="FC25" s="43"/>
      <c r="FD25" s="43"/>
      <c r="FE25" s="43"/>
      <c r="FF25" s="43"/>
      <c r="FG25" s="43"/>
      <c r="FH25" s="43"/>
      <c r="FI25" s="43"/>
      <c r="FJ25" s="43"/>
      <c r="FK25" s="43"/>
      <c r="FL25" s="43"/>
      <c r="FM25" s="43"/>
      <c r="FN25" s="43"/>
      <c r="FO25" s="43"/>
      <c r="FP25" s="43"/>
      <c r="FQ25" s="43"/>
      <c r="FR25" s="43"/>
      <c r="FS25" s="43"/>
      <c r="FT25" s="43"/>
      <c r="FU25" s="43"/>
      <c r="FV25" s="43"/>
      <c r="FW25" s="43"/>
      <c r="FX25" s="43"/>
      <c r="FY25" s="43"/>
      <c r="FZ25" s="43"/>
      <c r="GA25" s="43"/>
      <c r="GB25" s="43"/>
      <c r="GC25" s="43"/>
      <c r="GD25" s="43"/>
      <c r="GE25" s="43"/>
      <c r="GF25" s="43"/>
      <c r="GG25" s="43"/>
      <c r="GH25" s="43"/>
      <c r="GI25" s="43"/>
      <c r="GJ25" s="43"/>
      <c r="GK25" s="43"/>
      <c r="GL25" s="43"/>
      <c r="GM25" s="43"/>
      <c r="GN25" s="43"/>
      <c r="GO25" s="43"/>
      <c r="GP25" s="43"/>
      <c r="GQ25" s="43"/>
      <c r="GR25" s="43"/>
      <c r="GS25" s="43"/>
      <c r="GT25" s="43"/>
      <c r="GU25" s="43"/>
      <c r="GV25" s="43"/>
      <c r="GW25" s="43"/>
    </row>
    <row r="26" ht="15.0" customHeight="1">
      <c r="A26" s="44"/>
      <c r="B26" s="132"/>
      <c r="C26" s="119" t="s">
        <v>450</v>
      </c>
      <c r="D26" s="46"/>
      <c r="E26" s="47"/>
      <c r="F26" s="120">
        <v>2.0</v>
      </c>
      <c r="G26" s="47"/>
      <c r="H26" s="179"/>
      <c r="I26" s="47"/>
      <c r="J26" s="122"/>
      <c r="K26" s="47"/>
      <c r="L26" s="123"/>
      <c r="M26" s="47"/>
      <c r="N26" s="122"/>
      <c r="O26" s="47"/>
      <c r="P26" s="123"/>
      <c r="Q26" s="47"/>
      <c r="R26" s="123"/>
      <c r="S26" s="47"/>
      <c r="T26" s="124"/>
      <c r="U26" s="47"/>
      <c r="V26" s="125">
        <f t="shared" si="2"/>
        <v>2</v>
      </c>
      <c r="W26" s="47"/>
      <c r="X26" s="126">
        <f t="shared" si="3"/>
        <v>0</v>
      </c>
      <c r="Y26" s="46"/>
      <c r="Z26" s="47"/>
      <c r="AA26" s="155"/>
      <c r="AB26" s="46"/>
      <c r="AC26" s="47"/>
      <c r="AD26" s="125">
        <f t="shared" si="4"/>
        <v>0</v>
      </c>
      <c r="AE26" s="46"/>
      <c r="AF26" s="47"/>
      <c r="AG26" s="53"/>
      <c r="AH26" s="91"/>
      <c r="AI26" s="46"/>
      <c r="AJ26" s="46"/>
      <c r="AK26" s="46"/>
      <c r="AL26" s="46"/>
      <c r="AM26" s="46"/>
      <c r="AN26" s="47"/>
      <c r="AO26" s="91"/>
      <c r="AP26" s="47"/>
      <c r="AQ26" s="127"/>
      <c r="AR26" s="46"/>
      <c r="AS26" s="46"/>
      <c r="AT26" s="46"/>
      <c r="AU26" s="46"/>
      <c r="AV26" s="46"/>
      <c r="AW26" s="47"/>
      <c r="AX26" s="127"/>
      <c r="AY26" s="47"/>
      <c r="AZ26" s="91"/>
      <c r="BA26" s="46"/>
      <c r="BB26" s="46"/>
      <c r="BC26" s="46"/>
      <c r="BD26" s="46"/>
      <c r="BE26" s="46"/>
      <c r="BF26" s="47"/>
      <c r="BG26" s="91"/>
      <c r="BH26" s="47"/>
      <c r="BI26" s="127"/>
      <c r="BJ26" s="46"/>
      <c r="BK26" s="46"/>
      <c r="BL26" s="46"/>
      <c r="BM26" s="46"/>
      <c r="BN26" s="46"/>
      <c r="BO26" s="47"/>
      <c r="BP26" s="127"/>
      <c r="BQ26" s="47"/>
      <c r="BR26" s="53"/>
      <c r="BS26" s="70"/>
      <c r="BT26" s="58"/>
      <c r="BU26" s="88" t="s">
        <v>362</v>
      </c>
      <c r="BV26" s="46"/>
      <c r="BW26" s="46"/>
      <c r="BX26" s="46"/>
      <c r="BY26" s="46"/>
      <c r="BZ26" s="47"/>
      <c r="CA26" s="70"/>
      <c r="CB26" s="57"/>
      <c r="CC26" s="57"/>
      <c r="CD26" s="57"/>
      <c r="CE26" s="57"/>
      <c r="CF26" s="57"/>
      <c r="CG26" s="57"/>
      <c r="CH26" s="57"/>
      <c r="CI26" s="57"/>
      <c r="CJ26" s="57"/>
      <c r="CK26" s="57"/>
      <c r="CL26" s="57"/>
      <c r="CM26" s="57"/>
      <c r="CN26" s="58"/>
      <c r="CO26" s="70"/>
      <c r="CP26" s="57"/>
      <c r="CQ26" s="57"/>
      <c r="CR26" s="57"/>
      <c r="CS26" s="57"/>
      <c r="CT26" s="58"/>
      <c r="CU26" s="70"/>
      <c r="CV26" s="57"/>
      <c r="CW26" s="57"/>
      <c r="CX26" s="57"/>
      <c r="CY26" s="57"/>
      <c r="CZ26" s="57"/>
      <c r="DA26" s="57"/>
      <c r="DB26" s="57"/>
      <c r="DC26" s="57"/>
      <c r="DD26" s="57"/>
      <c r="DE26" s="57"/>
      <c r="DF26" s="57"/>
      <c r="DG26" s="57"/>
      <c r="DH26" s="57"/>
      <c r="DI26" s="57"/>
      <c r="DJ26" s="58"/>
      <c r="DK26" s="53"/>
      <c r="DL26" s="43"/>
      <c r="DM26" s="43"/>
      <c r="DN26" s="43"/>
      <c r="DO26" s="43"/>
      <c r="DP26" s="43"/>
      <c r="DQ26" s="43"/>
      <c r="DR26" s="43"/>
      <c r="DS26" s="43"/>
      <c r="DT26" s="43"/>
      <c r="DU26" s="43"/>
      <c r="DV26" s="43"/>
      <c r="DW26" s="43"/>
      <c r="DX26" s="43"/>
      <c r="DY26" s="43"/>
      <c r="DZ26" s="43"/>
      <c r="EA26" s="43"/>
      <c r="EB26" s="43"/>
      <c r="EC26" s="43"/>
      <c r="ED26" s="43"/>
      <c r="EE26" s="43"/>
      <c r="EF26" s="43"/>
      <c r="EG26" s="43"/>
      <c r="EH26" s="43"/>
      <c r="EI26" s="43"/>
      <c r="EJ26" s="43"/>
      <c r="EK26" s="43"/>
      <c r="EL26" s="43"/>
      <c r="EM26" s="43"/>
      <c r="EN26" s="43"/>
      <c r="EO26" s="43"/>
      <c r="EP26" s="43"/>
      <c r="EQ26" s="43"/>
      <c r="ER26" s="43"/>
      <c r="ES26" s="43"/>
      <c r="ET26" s="43"/>
      <c r="EU26" s="43"/>
      <c r="EV26" s="43"/>
      <c r="EW26" s="43"/>
      <c r="EX26" s="43"/>
      <c r="EY26" s="43"/>
      <c r="EZ26" s="43"/>
      <c r="FA26" s="43"/>
      <c r="FB26" s="43"/>
      <c r="FC26" s="43"/>
      <c r="FD26" s="43"/>
      <c r="FE26" s="43"/>
      <c r="FF26" s="43"/>
      <c r="FG26" s="43"/>
      <c r="FH26" s="43"/>
      <c r="FI26" s="43"/>
      <c r="FJ26" s="43"/>
      <c r="FK26" s="43"/>
      <c r="FL26" s="43"/>
      <c r="FM26" s="43"/>
      <c r="FN26" s="43"/>
      <c r="FO26" s="43"/>
      <c r="FP26" s="43"/>
      <c r="FQ26" s="43"/>
      <c r="FR26" s="43"/>
      <c r="FS26" s="43"/>
      <c r="FT26" s="43"/>
      <c r="FU26" s="43"/>
      <c r="FV26" s="43"/>
      <c r="FW26" s="43"/>
      <c r="FX26" s="43"/>
      <c r="FY26" s="43"/>
      <c r="FZ26" s="43"/>
      <c r="GA26" s="43"/>
      <c r="GB26" s="43"/>
      <c r="GC26" s="43"/>
      <c r="GD26" s="43"/>
      <c r="GE26" s="43"/>
      <c r="GF26" s="43"/>
      <c r="GG26" s="43"/>
      <c r="GH26" s="43"/>
      <c r="GI26" s="43"/>
      <c r="GJ26" s="43"/>
      <c r="GK26" s="43"/>
      <c r="GL26" s="43"/>
      <c r="GM26" s="43"/>
      <c r="GN26" s="43"/>
      <c r="GO26" s="43"/>
      <c r="GP26" s="43"/>
      <c r="GQ26" s="43"/>
      <c r="GR26" s="43"/>
      <c r="GS26" s="43"/>
      <c r="GT26" s="43"/>
      <c r="GU26" s="43"/>
      <c r="GV26" s="43"/>
      <c r="GW26" s="43"/>
    </row>
    <row r="27" ht="15.0" customHeight="1">
      <c r="A27" s="106"/>
      <c r="B27" s="107" t="str">
        <f>IFERROR(
_xlfn.IFS(SUM(G30:H55)=0,"請在建卡欄位分配您的技能(6+5+4/5)，單技能上限為5，總和為20。",
SUMIF(G30:H55,"&gt;5")&gt;0,"創角技能上限為5，請檢查。",
SUM(G30:H55)+countif(G30:G55,"&gt;3")+countif(G30:G55,"&gt;4")=20,"創卡技能分配完成。"),"請在建卡欄位分配您的技能(6+5+4/5)，單技能上限為5，總和為20。剩餘點數："&amp;(20-SUM(G30:H55)-countif(G30:G55,"&gt;3")-countif(G30:G55,"&gt;4")))</f>
        <v>請在建卡欄位分配您的技能(6+5+4/5)，單技能上限為5，總和為20。</v>
      </c>
      <c r="AE27" s="36"/>
      <c r="AF27" s="36"/>
      <c r="AG27" s="36"/>
      <c r="AH27" s="36"/>
      <c r="AI27" s="36"/>
      <c r="AJ27" s="36"/>
      <c r="AK27" s="36"/>
      <c r="AL27" s="36"/>
      <c r="AM27" s="180"/>
      <c r="AN27" s="36"/>
      <c r="AO27" s="36">
        <f>(1+2+3)+5+(1+2)+1</f>
        <v>15</v>
      </c>
      <c r="AP27" s="36"/>
      <c r="AQ27" s="36"/>
      <c r="AR27" s="36"/>
      <c r="AS27" s="36"/>
      <c r="AT27" s="36"/>
      <c r="AU27" s="36"/>
      <c r="AV27" s="36"/>
      <c r="AW27" s="36"/>
      <c r="AX27" s="36"/>
      <c r="AY27" s="36"/>
      <c r="AZ27" s="36"/>
      <c r="BA27" s="36"/>
      <c r="BB27" s="36"/>
      <c r="BC27" s="36"/>
      <c r="BD27" s="36"/>
      <c r="BE27" s="36"/>
      <c r="BF27" s="36"/>
      <c r="BG27" s="36"/>
      <c r="BH27" s="36"/>
      <c r="BI27" s="36"/>
      <c r="BJ27" s="36"/>
      <c r="BK27" s="36"/>
      <c r="BL27" s="36"/>
      <c r="BM27" s="36"/>
      <c r="BN27" s="36"/>
      <c r="BO27" s="36"/>
      <c r="BP27" s="36"/>
      <c r="BQ27" s="36"/>
      <c r="BR27" s="181"/>
      <c r="BS27" s="36"/>
      <c r="BT27" s="36"/>
      <c r="BU27" s="36"/>
      <c r="BV27" s="36"/>
      <c r="BW27" s="36"/>
      <c r="BX27" s="36"/>
      <c r="BY27" s="36"/>
      <c r="BZ27" s="36"/>
      <c r="CA27" s="36"/>
      <c r="CB27" s="36"/>
      <c r="CC27" s="36"/>
      <c r="CD27" s="36"/>
      <c r="CE27" s="36"/>
      <c r="CF27" s="36"/>
      <c r="CG27" s="36"/>
      <c r="CH27" s="36"/>
      <c r="CI27" s="36"/>
      <c r="CJ27" s="36"/>
      <c r="CK27" s="36"/>
      <c r="CL27" s="36"/>
      <c r="CM27" s="36"/>
      <c r="CN27" s="36"/>
      <c r="CO27" s="36"/>
      <c r="CP27" s="36"/>
      <c r="CQ27" s="180"/>
      <c r="CR27" s="36"/>
      <c r="CS27" s="36"/>
      <c r="CT27" s="36"/>
      <c r="CU27" s="36"/>
      <c r="CV27" s="36"/>
      <c r="CW27" s="36"/>
      <c r="CX27" s="36"/>
      <c r="CY27" s="36"/>
      <c r="CZ27" s="36"/>
      <c r="DA27" s="36"/>
      <c r="DB27" s="36"/>
      <c r="DC27" s="36"/>
      <c r="DD27" s="36"/>
      <c r="DE27" s="36"/>
      <c r="DF27" s="36"/>
      <c r="DG27" s="36"/>
      <c r="DH27" s="36"/>
      <c r="DI27" s="36"/>
      <c r="DJ27" s="36"/>
      <c r="DK27" s="109"/>
      <c r="DL27" s="43"/>
      <c r="DM27" s="43"/>
      <c r="DN27" s="43"/>
      <c r="DO27" s="43"/>
      <c r="DP27" s="43"/>
      <c r="DQ27" s="43"/>
      <c r="DR27" s="43"/>
      <c r="DS27" s="43"/>
      <c r="DT27" s="43"/>
      <c r="DU27" s="43"/>
      <c r="DV27" s="43"/>
      <c r="DW27" s="43"/>
      <c r="DX27" s="43"/>
      <c r="DY27" s="43"/>
      <c r="DZ27" s="43"/>
      <c r="EA27" s="43"/>
      <c r="EB27" s="43"/>
      <c r="EC27" s="43"/>
      <c r="ED27" s="43"/>
      <c r="EE27" s="43"/>
      <c r="EF27" s="43"/>
      <c r="EG27" s="43"/>
      <c r="EH27" s="43"/>
      <c r="EI27" s="43"/>
      <c r="EJ27" s="43"/>
      <c r="EK27" s="43"/>
      <c r="EL27" s="43"/>
      <c r="EM27" s="43"/>
      <c r="EN27" s="43"/>
      <c r="EO27" s="43"/>
      <c r="EP27" s="43"/>
      <c r="EQ27" s="43"/>
      <c r="ER27" s="43"/>
      <c r="ES27" s="43"/>
      <c r="ET27" s="43"/>
      <c r="EU27" s="43"/>
      <c r="EV27" s="43"/>
      <c r="EW27" s="43"/>
      <c r="EX27" s="43"/>
      <c r="EY27" s="43"/>
      <c r="EZ27" s="43"/>
      <c r="FA27" s="43"/>
      <c r="FB27" s="43"/>
      <c r="FC27" s="43"/>
      <c r="FD27" s="43"/>
      <c r="FE27" s="43"/>
      <c r="FF27" s="43"/>
      <c r="FG27" s="43"/>
      <c r="FH27" s="43"/>
      <c r="FI27" s="43"/>
      <c r="FJ27" s="43"/>
      <c r="FK27" s="43"/>
      <c r="FL27" s="43"/>
      <c r="FM27" s="43"/>
      <c r="FN27" s="43"/>
      <c r="FO27" s="43"/>
      <c r="FP27" s="43"/>
      <c r="FQ27" s="43"/>
      <c r="FR27" s="43"/>
      <c r="FS27" s="43"/>
      <c r="FT27" s="43"/>
      <c r="FU27" s="43"/>
      <c r="FV27" s="43"/>
      <c r="FW27" s="43"/>
      <c r="FX27" s="43"/>
      <c r="FY27" s="43"/>
      <c r="FZ27" s="43"/>
      <c r="GA27" s="43"/>
      <c r="GB27" s="43"/>
      <c r="GC27" s="43"/>
      <c r="GD27" s="43"/>
      <c r="GE27" s="43"/>
      <c r="GF27" s="43"/>
      <c r="GG27" s="43"/>
      <c r="GH27" s="43"/>
      <c r="GI27" s="43"/>
      <c r="GJ27" s="43"/>
      <c r="GK27" s="43"/>
      <c r="GL27" s="43"/>
      <c r="GM27" s="43"/>
      <c r="GN27" s="43"/>
      <c r="GO27" s="43"/>
      <c r="GP27" s="43"/>
      <c r="GQ27" s="43"/>
      <c r="GR27" s="43"/>
      <c r="GS27" s="43"/>
      <c r="GT27" s="43"/>
      <c r="GU27" s="43"/>
      <c r="GV27" s="43"/>
      <c r="GW27" s="43"/>
    </row>
    <row r="28" ht="15.0" customHeight="1">
      <c r="A28" s="44"/>
      <c r="B28" s="62" t="s">
        <v>453</v>
      </c>
      <c r="C28" s="49"/>
      <c r="D28" s="49"/>
      <c r="E28" s="49"/>
      <c r="F28" s="50"/>
      <c r="G28" s="115" t="s">
        <v>454</v>
      </c>
      <c r="H28" s="46"/>
      <c r="I28" s="46"/>
      <c r="J28" s="46"/>
      <c r="K28" s="46"/>
      <c r="L28" s="46"/>
      <c r="M28" s="46"/>
      <c r="N28" s="46"/>
      <c r="O28" s="46"/>
      <c r="P28" s="47"/>
      <c r="Q28" s="111" t="s">
        <v>401</v>
      </c>
      <c r="R28" s="46"/>
      <c r="S28" s="46"/>
      <c r="T28" s="47"/>
      <c r="U28" s="182" t="s">
        <v>455</v>
      </c>
      <c r="V28" s="49"/>
      <c r="W28" s="49"/>
      <c r="X28" s="49"/>
      <c r="Y28" s="49"/>
      <c r="Z28" s="49"/>
      <c r="AA28" s="49"/>
      <c r="AB28" s="49"/>
      <c r="AC28" s="49"/>
      <c r="AD28" s="50"/>
      <c r="AE28" s="115" t="s">
        <v>456</v>
      </c>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7"/>
      <c r="BI28" s="51" t="s">
        <v>458</v>
      </c>
      <c r="BJ28" s="46"/>
      <c r="BK28" s="46"/>
      <c r="BL28" s="46"/>
      <c r="BM28" s="46"/>
      <c r="BN28" s="46"/>
      <c r="BO28" s="46"/>
      <c r="BP28" s="46"/>
      <c r="BQ28" s="46"/>
      <c r="BR28" s="46"/>
      <c r="BS28" s="46"/>
      <c r="BT28" s="46"/>
      <c r="BU28" s="46"/>
      <c r="BV28" s="46"/>
      <c r="BW28" s="46"/>
      <c r="BX28" s="46"/>
      <c r="BY28" s="46"/>
      <c r="BZ28" s="46"/>
      <c r="CA28" s="46"/>
      <c r="CB28" s="46"/>
      <c r="CC28" s="46"/>
      <c r="CD28" s="46"/>
      <c r="CE28" s="46"/>
      <c r="CF28" s="46"/>
      <c r="CG28" s="46"/>
      <c r="CH28" s="46"/>
      <c r="CI28" s="47"/>
      <c r="CJ28" s="51" t="s">
        <v>459</v>
      </c>
      <c r="CK28" s="46"/>
      <c r="CL28" s="46"/>
      <c r="CM28" s="46"/>
      <c r="CN28" s="46"/>
      <c r="CO28" s="46"/>
      <c r="CP28" s="46"/>
      <c r="CQ28" s="46"/>
      <c r="CR28" s="46"/>
      <c r="CS28" s="46"/>
      <c r="CT28" s="46"/>
      <c r="CU28" s="46"/>
      <c r="CV28" s="46"/>
      <c r="CW28" s="46"/>
      <c r="CX28" s="46"/>
      <c r="CY28" s="46"/>
      <c r="CZ28" s="46"/>
      <c r="DA28" s="46"/>
      <c r="DB28" s="46"/>
      <c r="DC28" s="46"/>
      <c r="DD28" s="46"/>
      <c r="DE28" s="46"/>
      <c r="DF28" s="46"/>
      <c r="DG28" s="46"/>
      <c r="DH28" s="46"/>
      <c r="DI28" s="46"/>
      <c r="DJ28" s="47"/>
      <c r="DK28" s="43"/>
      <c r="DL28" s="43"/>
      <c r="DM28" s="43"/>
      <c r="DN28" s="43"/>
      <c r="DO28" s="43"/>
      <c r="DP28" s="43"/>
      <c r="DQ28" s="43"/>
      <c r="DR28" s="43"/>
      <c r="DS28" s="43"/>
      <c r="DT28" s="43"/>
      <c r="DU28" s="43"/>
      <c r="DV28" s="43"/>
      <c r="DW28" s="43"/>
      <c r="DX28" s="43"/>
      <c r="DY28" s="43"/>
      <c r="DZ28" s="43"/>
      <c r="EA28" s="43"/>
      <c r="EB28" s="43"/>
      <c r="EC28" s="43"/>
      <c r="ED28" s="43"/>
      <c r="EE28" s="43"/>
      <c r="EF28" s="43"/>
      <c r="EG28" s="43"/>
      <c r="EH28" s="43"/>
      <c r="EI28" s="43"/>
      <c r="EJ28" s="43"/>
      <c r="EK28" s="43"/>
      <c r="EL28" s="43"/>
      <c r="EM28" s="43"/>
      <c r="EN28" s="43"/>
      <c r="EO28" s="43"/>
      <c r="EP28" s="43"/>
      <c r="EQ28" s="43"/>
      <c r="ER28" s="43"/>
      <c r="ES28" s="43"/>
      <c r="ET28" s="43"/>
      <c r="EU28" s="43"/>
      <c r="EV28" s="43"/>
      <c r="EW28" s="43"/>
      <c r="EX28" s="43"/>
      <c r="EY28" s="43"/>
      <c r="EZ28" s="43"/>
      <c r="FA28" s="43"/>
      <c r="FB28" s="43"/>
      <c r="FC28" s="43"/>
      <c r="FD28" s="43"/>
      <c r="FE28" s="43"/>
      <c r="FF28" s="43"/>
      <c r="FG28" s="43"/>
      <c r="FH28" s="43"/>
      <c r="FI28" s="128"/>
      <c r="FJ28" s="128"/>
      <c r="FK28" s="128"/>
      <c r="FL28" s="128"/>
      <c r="FM28" s="128"/>
      <c r="FN28" s="128"/>
      <c r="FO28" s="128"/>
      <c r="FP28" s="128"/>
      <c r="FQ28" s="128"/>
      <c r="FR28" s="128"/>
      <c r="FS28" s="128"/>
      <c r="FT28" s="128"/>
      <c r="FU28" s="128"/>
      <c r="FV28" s="128"/>
      <c r="FW28" s="128"/>
      <c r="FX28" s="128"/>
      <c r="FY28" s="128"/>
      <c r="FZ28" s="128"/>
      <c r="GA28" s="128"/>
      <c r="GB28" s="128"/>
      <c r="GC28" s="128"/>
      <c r="GD28" s="128"/>
      <c r="GE28" s="43"/>
      <c r="GF28" s="43"/>
      <c r="GG28" s="43"/>
      <c r="GH28" s="43"/>
      <c r="GI28" s="43"/>
      <c r="GJ28" s="43"/>
      <c r="GK28" s="43"/>
      <c r="GL28" s="43"/>
      <c r="GM28" s="43"/>
      <c r="GN28" s="43"/>
      <c r="GO28" s="43"/>
      <c r="GP28" s="43"/>
      <c r="GQ28" s="43"/>
      <c r="GR28" s="43"/>
      <c r="GS28" s="43"/>
      <c r="GT28" s="43"/>
      <c r="GU28" s="43"/>
      <c r="GV28" s="43"/>
      <c r="GW28" s="43"/>
    </row>
    <row r="29" ht="15.0" customHeight="1">
      <c r="A29" s="44"/>
      <c r="B29" s="70"/>
      <c r="C29" s="57"/>
      <c r="D29" s="57"/>
      <c r="E29" s="57"/>
      <c r="F29" s="58"/>
      <c r="G29" s="114" t="s">
        <v>405</v>
      </c>
      <c r="H29" s="47"/>
      <c r="I29" s="114" t="s">
        <v>406</v>
      </c>
      <c r="J29" s="47"/>
      <c r="K29" s="114" t="s">
        <v>461</v>
      </c>
      <c r="L29" s="46"/>
      <c r="M29" s="46"/>
      <c r="N29" s="47"/>
      <c r="O29" s="114" t="s">
        <v>413</v>
      </c>
      <c r="P29" s="47"/>
      <c r="Q29" s="111" t="s">
        <v>411</v>
      </c>
      <c r="R29" s="47"/>
      <c r="S29" s="115" t="s">
        <v>413</v>
      </c>
      <c r="T29" s="47"/>
      <c r="U29" s="70"/>
      <c r="V29" s="57"/>
      <c r="W29" s="57"/>
      <c r="X29" s="57"/>
      <c r="Y29" s="57"/>
      <c r="Z29" s="57"/>
      <c r="AA29" s="57"/>
      <c r="AB29" s="57"/>
      <c r="AC29" s="57"/>
      <c r="AD29" s="58"/>
      <c r="AE29" s="115" t="s">
        <v>462</v>
      </c>
      <c r="AF29" s="46"/>
      <c r="AG29" s="46"/>
      <c r="AH29" s="46"/>
      <c r="AI29" s="46"/>
      <c r="AJ29" s="46"/>
      <c r="AK29" s="46"/>
      <c r="AL29" s="46"/>
      <c r="AM29" s="46"/>
      <c r="AN29" s="46"/>
      <c r="AO29" s="46"/>
      <c r="AP29" s="46"/>
      <c r="AQ29" s="46"/>
      <c r="AR29" s="46"/>
      <c r="AS29" s="46"/>
      <c r="AT29" s="47"/>
      <c r="AU29" s="115" t="s">
        <v>397</v>
      </c>
      <c r="AV29" s="46"/>
      <c r="AW29" s="47"/>
      <c r="AX29" s="115" t="s">
        <v>463</v>
      </c>
      <c r="AY29" s="46"/>
      <c r="AZ29" s="47"/>
      <c r="BA29" s="115" t="s">
        <v>464</v>
      </c>
      <c r="BB29" s="46"/>
      <c r="BC29" s="47"/>
      <c r="BD29" s="115" t="s">
        <v>465</v>
      </c>
      <c r="BE29" s="46"/>
      <c r="BF29" s="47"/>
      <c r="BG29" s="115" t="s">
        <v>466</v>
      </c>
      <c r="BH29" s="47"/>
      <c r="BI29" s="184" t="s">
        <v>467</v>
      </c>
      <c r="BJ29" s="49"/>
      <c r="BK29" s="49"/>
      <c r="BL29" s="50"/>
      <c r="BM29" s="185" t="s">
        <v>468</v>
      </c>
      <c r="BN29" s="49"/>
      <c r="BO29" s="50"/>
      <c r="BP29" s="186" t="s">
        <v>469</v>
      </c>
      <c r="BQ29" s="49"/>
      <c r="BR29" s="50"/>
      <c r="BS29" s="186" t="s">
        <v>414</v>
      </c>
      <c r="BT29" s="49"/>
      <c r="BU29" s="50"/>
      <c r="BV29" s="187" t="s">
        <v>470</v>
      </c>
      <c r="BW29" s="46"/>
      <c r="BX29" s="46"/>
      <c r="BY29" s="46"/>
      <c r="BZ29" s="46"/>
      <c r="CA29" s="46"/>
      <c r="CB29" s="46"/>
      <c r="CC29" s="46"/>
      <c r="CD29" s="46"/>
      <c r="CE29" s="46"/>
      <c r="CF29" s="46"/>
      <c r="CG29" s="46"/>
      <c r="CH29" s="46"/>
      <c r="CI29" s="47"/>
      <c r="CJ29" s="48"/>
      <c r="CK29" s="49"/>
      <c r="CL29" s="49"/>
      <c r="CM29" s="49"/>
      <c r="CN29" s="49"/>
      <c r="CO29" s="49"/>
      <c r="CP29" s="49"/>
      <c r="CQ29" s="49"/>
      <c r="CR29" s="49"/>
      <c r="CS29" s="49"/>
      <c r="CT29" s="49"/>
      <c r="CU29" s="49"/>
      <c r="CV29" s="49"/>
      <c r="CW29" s="49"/>
      <c r="CX29" s="49"/>
      <c r="CY29" s="49"/>
      <c r="CZ29" s="49"/>
      <c r="DA29" s="49"/>
      <c r="DB29" s="49"/>
      <c r="DC29" s="49"/>
      <c r="DD29" s="49"/>
      <c r="DE29" s="49"/>
      <c r="DF29" s="49"/>
      <c r="DG29" s="49"/>
      <c r="DH29" s="49"/>
      <c r="DI29" s="49"/>
      <c r="DJ29" s="50"/>
      <c r="DK29" s="53"/>
      <c r="DL29" s="43"/>
      <c r="DM29" s="189"/>
      <c r="DN29" s="189"/>
      <c r="DO29" s="189"/>
      <c r="DP29" s="189"/>
      <c r="DQ29" s="43"/>
      <c r="DR29" s="43"/>
      <c r="DS29" s="43"/>
      <c r="DT29" s="43"/>
      <c r="DU29" s="43"/>
      <c r="DV29" s="43"/>
      <c r="DW29" s="43"/>
      <c r="DX29" s="43"/>
      <c r="DY29" s="43"/>
      <c r="DZ29" s="43"/>
      <c r="EA29" s="43"/>
      <c r="EB29" s="43"/>
      <c r="EC29" s="43"/>
      <c r="ED29" s="43"/>
      <c r="EE29" s="43"/>
      <c r="EF29" s="43"/>
      <c r="EG29" s="43"/>
      <c r="EH29" s="43"/>
      <c r="EI29" s="43"/>
      <c r="EJ29" s="43"/>
      <c r="EK29" s="43"/>
      <c r="EL29" s="43"/>
      <c r="EM29" s="43"/>
      <c r="EN29" s="43"/>
      <c r="EO29" s="43"/>
      <c r="EP29" s="43"/>
      <c r="EQ29" s="43"/>
      <c r="ER29" s="43"/>
      <c r="ES29" s="43"/>
      <c r="ET29" s="43"/>
      <c r="EU29" s="43"/>
      <c r="EV29" s="43"/>
      <c r="EW29" s="43"/>
      <c r="EX29" s="43"/>
      <c r="EY29" s="43"/>
      <c r="EZ29" s="43"/>
      <c r="FA29" s="43"/>
      <c r="FB29" s="43"/>
      <c r="FC29" s="43"/>
      <c r="FD29" s="43"/>
      <c r="FE29" s="43"/>
      <c r="FF29" s="43"/>
      <c r="FG29" s="43"/>
      <c r="FH29" s="43"/>
      <c r="FI29" s="189"/>
      <c r="FJ29" s="189"/>
      <c r="FK29" s="189"/>
      <c r="FL29" s="189"/>
      <c r="FM29" s="189"/>
      <c r="FN29" s="189"/>
      <c r="FO29" s="189"/>
      <c r="FP29" s="189"/>
      <c r="FQ29" s="189"/>
      <c r="FR29" s="189"/>
      <c r="FS29" s="189"/>
      <c r="FT29" s="189"/>
      <c r="FU29" s="128"/>
      <c r="FV29" s="128"/>
      <c r="FW29" s="128"/>
      <c r="FX29" s="128"/>
      <c r="FY29" s="128"/>
      <c r="FZ29" s="128"/>
      <c r="GA29" s="128"/>
      <c r="GB29" s="128"/>
      <c r="GC29" s="128"/>
      <c r="GD29" s="128"/>
      <c r="GE29" s="43"/>
      <c r="GF29" s="43"/>
      <c r="GG29" s="43"/>
      <c r="GH29" s="43"/>
      <c r="GI29" s="43"/>
      <c r="GJ29" s="43"/>
      <c r="GK29" s="43"/>
      <c r="GL29" s="43"/>
      <c r="GM29" s="43"/>
      <c r="GN29" s="43"/>
      <c r="GO29" s="43"/>
      <c r="GP29" s="43"/>
      <c r="GQ29" s="43"/>
      <c r="GR29" s="43"/>
      <c r="GS29" s="43"/>
      <c r="GT29" s="43"/>
      <c r="GU29" s="43"/>
      <c r="GV29" s="43"/>
      <c r="GW29" s="43"/>
    </row>
    <row r="30" ht="15.0" customHeight="1">
      <c r="A30" s="44"/>
      <c r="B30" s="118" t="s">
        <v>473</v>
      </c>
      <c r="C30" s="119" t="s">
        <v>474</v>
      </c>
      <c r="D30" s="46"/>
      <c r="E30" s="46"/>
      <c r="F30" s="47"/>
      <c r="G30" s="192">
        <v>0.0</v>
      </c>
      <c r="H30" s="47"/>
      <c r="I30" s="193"/>
      <c r="J30" s="47"/>
      <c r="K30" s="130"/>
      <c r="L30" s="47"/>
      <c r="M30" s="194"/>
      <c r="N30" s="47"/>
      <c r="O30" s="195">
        <f t="shared" ref="O30:O37" si="5">SUM(G30:N30)</f>
        <v>0</v>
      </c>
      <c r="P30" s="47"/>
      <c r="Q30" s="155"/>
      <c r="R30" s="47"/>
      <c r="S30" s="195">
        <f t="shared" ref="S30:S37" si="6">LOOKUP(O30,{0,1,5,7,9,11,13,15},{-1,0,1,2,3,4,5,6})+Q30</f>
        <v>-1</v>
      </c>
      <c r="T30" s="47"/>
      <c r="U30" s="196"/>
      <c r="V30" s="46"/>
      <c r="W30" s="46"/>
      <c r="X30" s="46"/>
      <c r="Y30" s="46"/>
      <c r="Z30" s="46"/>
      <c r="AA30" s="46"/>
      <c r="AB30" s="46"/>
      <c r="AC30" s="46"/>
      <c r="AD30" s="47"/>
      <c r="AE30" s="197" t="s">
        <v>481</v>
      </c>
      <c r="AF30" s="133" t="s">
        <v>474</v>
      </c>
      <c r="AG30" s="49"/>
      <c r="AH30" s="50"/>
      <c r="AI30" s="198" t="s">
        <v>482</v>
      </c>
      <c r="AJ30" s="46"/>
      <c r="AK30" s="46"/>
      <c r="AL30" s="47"/>
      <c r="AM30" s="198" t="s">
        <v>483</v>
      </c>
      <c r="AN30" s="46"/>
      <c r="AO30" s="46"/>
      <c r="AP30" s="47"/>
      <c r="AQ30" s="198" t="s">
        <v>484</v>
      </c>
      <c r="AR30" s="46"/>
      <c r="AS30" s="46"/>
      <c r="AT30" s="47"/>
      <c r="AU30" s="199" t="s">
        <v>421</v>
      </c>
      <c r="AV30" s="46"/>
      <c r="AW30" s="47"/>
      <c r="AX30" s="90"/>
      <c r="AY30" s="46"/>
      <c r="AZ30" s="47"/>
      <c r="BA30" s="200">
        <f>vlookup(AU30,$CZ$155:$DI$186,3,false)+vlookup(AF30,$CZ$155:$DI$186,3,false)+AX30+vlookup(AF30,$CZ$155:$DI$186,9,false)+1</f>
        <v>3</v>
      </c>
      <c r="BB30" s="46"/>
      <c r="BC30" s="47"/>
      <c r="BD30" s="200">
        <f>vlookup(AU30,$CZ$155:$DI$186,3,false)+vlookup(AF30,$CZ$155:$DI$186,3,false)+AX30+vlookup(AF30,$CZ$155:$DI$186,9,false)</f>
        <v>2</v>
      </c>
      <c r="BE30" s="46"/>
      <c r="BF30" s="47"/>
      <c r="BG30" s="200">
        <f>vlookup(AU30,$CZ$155:$DI$186,5,false)+vlookup(AF30,$CZ$155:$DI$186,5,false)</f>
        <v>-1</v>
      </c>
      <c r="BH30" s="47"/>
      <c r="BI30" s="70"/>
      <c r="BJ30" s="57"/>
      <c r="BK30" s="57"/>
      <c r="BL30" s="58"/>
      <c r="BM30" s="70"/>
      <c r="BN30" s="57"/>
      <c r="BO30" s="58"/>
      <c r="BP30" s="70"/>
      <c r="BQ30" s="57"/>
      <c r="BR30" s="58"/>
      <c r="BS30" s="70"/>
      <c r="BT30" s="57"/>
      <c r="BU30" s="58"/>
      <c r="BV30" s="202" t="s">
        <v>402</v>
      </c>
      <c r="BW30" s="47"/>
      <c r="BX30" s="202" t="s">
        <v>407</v>
      </c>
      <c r="BY30" s="47"/>
      <c r="BZ30" s="202" t="s">
        <v>408</v>
      </c>
      <c r="CA30" s="47"/>
      <c r="CB30" s="202" t="s">
        <v>410</v>
      </c>
      <c r="CC30" s="47"/>
      <c r="CD30" s="203" t="s">
        <v>409</v>
      </c>
      <c r="CE30" s="47"/>
      <c r="CF30" s="202" t="s">
        <v>411</v>
      </c>
      <c r="CG30" s="47"/>
      <c r="CH30" s="202" t="s">
        <v>412</v>
      </c>
      <c r="CI30" s="47"/>
      <c r="CJ30" s="59"/>
      <c r="DJ30" s="60"/>
      <c r="DK30" s="53"/>
      <c r="DL30" s="43"/>
      <c r="DM30" s="43"/>
      <c r="DN30" s="43"/>
      <c r="DO30" s="43"/>
      <c r="DP30" s="43"/>
      <c r="DQ30" s="43"/>
      <c r="DR30" s="43"/>
      <c r="DS30" s="43"/>
      <c r="DT30" s="43"/>
      <c r="DU30" s="43"/>
      <c r="DV30" s="43"/>
      <c r="DW30" s="43"/>
      <c r="DX30" s="43"/>
      <c r="DY30" s="43"/>
      <c r="DZ30" s="43"/>
      <c r="EA30" s="43"/>
      <c r="EB30" s="43"/>
      <c r="EC30" s="43"/>
      <c r="ED30" s="43"/>
      <c r="EE30" s="43"/>
      <c r="EF30" s="43"/>
      <c r="EG30" s="43"/>
      <c r="EH30" s="43"/>
      <c r="EI30" s="43"/>
      <c r="EJ30" s="43"/>
      <c r="EK30" s="43"/>
      <c r="EL30" s="43"/>
      <c r="EM30" s="43"/>
      <c r="EN30" s="43"/>
      <c r="EO30" s="43"/>
      <c r="EP30" s="43"/>
      <c r="EQ30" s="43"/>
      <c r="ER30" s="43"/>
      <c r="ES30" s="43"/>
      <c r="ET30" s="43"/>
      <c r="EU30" s="43"/>
      <c r="EV30" s="43"/>
      <c r="EW30" s="43"/>
      <c r="EX30" s="43"/>
      <c r="EY30" s="43"/>
      <c r="EZ30" s="43"/>
      <c r="FA30" s="43"/>
      <c r="FB30" s="43"/>
      <c r="FC30" s="43"/>
      <c r="FD30" s="43"/>
      <c r="FE30" s="43"/>
      <c r="FF30" s="43"/>
      <c r="FG30" s="43"/>
      <c r="FH30" s="43"/>
      <c r="FI30" s="128"/>
      <c r="FJ30" s="128"/>
      <c r="FK30" s="128"/>
      <c r="FL30" s="128"/>
      <c r="FM30" s="128"/>
      <c r="FN30" s="128"/>
      <c r="FO30" s="128"/>
      <c r="FP30" s="128"/>
      <c r="FQ30" s="128"/>
      <c r="FR30" s="128"/>
      <c r="FS30" s="128"/>
      <c r="FT30" s="128"/>
      <c r="FU30" s="128"/>
      <c r="FV30" s="128"/>
      <c r="FW30" s="128"/>
      <c r="FX30" s="128"/>
      <c r="FY30" s="128"/>
      <c r="FZ30" s="128"/>
      <c r="GA30" s="128"/>
      <c r="GB30" s="128"/>
      <c r="GC30" s="128"/>
      <c r="GD30" s="128"/>
      <c r="GE30" s="43"/>
      <c r="GF30" s="43"/>
      <c r="GG30" s="43"/>
      <c r="GH30" s="43"/>
      <c r="GI30" s="43"/>
      <c r="GJ30" s="43"/>
      <c r="GK30" s="43"/>
      <c r="GL30" s="43"/>
      <c r="GM30" s="43"/>
      <c r="GN30" s="43"/>
      <c r="GO30" s="43"/>
      <c r="GP30" s="43"/>
      <c r="GQ30" s="43"/>
      <c r="GR30" s="43"/>
      <c r="GS30" s="43"/>
      <c r="GT30" s="43"/>
      <c r="GU30" s="43"/>
      <c r="GV30" s="43"/>
      <c r="GW30" s="43"/>
    </row>
    <row r="31" ht="15.0" customHeight="1">
      <c r="A31" s="44"/>
      <c r="B31" s="129"/>
      <c r="C31" s="119" t="s">
        <v>487</v>
      </c>
      <c r="D31" s="46"/>
      <c r="E31" s="46"/>
      <c r="F31" s="47"/>
      <c r="G31" s="192">
        <v>0.0</v>
      </c>
      <c r="H31" s="47"/>
      <c r="I31" s="204"/>
      <c r="J31" s="47"/>
      <c r="K31" s="130"/>
      <c r="L31" s="47"/>
      <c r="M31" s="205"/>
      <c r="N31" s="47"/>
      <c r="O31" s="195">
        <f t="shared" si="5"/>
        <v>0</v>
      </c>
      <c r="P31" s="47"/>
      <c r="Q31" s="155"/>
      <c r="R31" s="47"/>
      <c r="S31" s="195">
        <f t="shared" si="6"/>
        <v>-1</v>
      </c>
      <c r="T31" s="47"/>
      <c r="U31" s="206"/>
      <c r="V31" s="46"/>
      <c r="W31" s="46"/>
      <c r="X31" s="46"/>
      <c r="Y31" s="46"/>
      <c r="Z31" s="46"/>
      <c r="AA31" s="46"/>
      <c r="AB31" s="46"/>
      <c r="AC31" s="46"/>
      <c r="AD31" s="47"/>
      <c r="AE31" s="129"/>
      <c r="AF31" s="70"/>
      <c r="AG31" s="57"/>
      <c r="AH31" s="58"/>
      <c r="AI31" s="198" t="s">
        <v>488</v>
      </c>
      <c r="AJ31" s="46"/>
      <c r="AK31" s="46"/>
      <c r="AL31" s="46"/>
      <c r="AM31" s="46"/>
      <c r="AN31" s="47"/>
      <c r="AO31" s="198" t="s">
        <v>489</v>
      </c>
      <c r="AP31" s="46"/>
      <c r="AQ31" s="46"/>
      <c r="AR31" s="46"/>
      <c r="AS31" s="46"/>
      <c r="AT31" s="47"/>
      <c r="AU31" s="199" t="s">
        <v>424</v>
      </c>
      <c r="AV31" s="46"/>
      <c r="AW31" s="47"/>
      <c r="AX31" s="90"/>
      <c r="AY31" s="46"/>
      <c r="AZ31" s="47"/>
      <c r="BA31" s="200">
        <f>vlookup(AU31,$CZ$155:$DI$186,3,false)+vlookup(AF30,$CZ$155:$DI$186,3,false)+AX31+vlookup(AF30,$CZ$155:$DI$186,9,false)+1</f>
        <v>3</v>
      </c>
      <c r="BB31" s="46"/>
      <c r="BC31" s="47"/>
      <c r="BD31" s="200">
        <f>vlookup(AU31,$CZ$155:$DI$186,3,false)+vlookup(AF30,$CZ$155:$DI$186,3,false)+AX31+vlookup(AF30,$CZ$155:$DI$186,9,false)</f>
        <v>2</v>
      </c>
      <c r="BE31" s="46"/>
      <c r="BF31" s="47"/>
      <c r="BG31" s="200">
        <f>vlookup(AU31,$CZ$155:$DI$186,5,false)+vlookup(AF30,$CZ$155:$DI$186,5,false)</f>
        <v>-1</v>
      </c>
      <c r="BH31" s="47"/>
      <c r="BI31" s="207" t="s">
        <v>490</v>
      </c>
      <c r="BJ31" s="46"/>
      <c r="BK31" s="46"/>
      <c r="BL31" s="47"/>
      <c r="BM31" s="208">
        <f>SUM(BP31:CI31)</f>
        <v>5</v>
      </c>
      <c r="BN31" s="46"/>
      <c r="BO31" s="47"/>
      <c r="BP31" s="209">
        <v>5.0</v>
      </c>
      <c r="BQ31" s="46"/>
      <c r="BR31" s="47"/>
      <c r="BS31" s="210"/>
      <c r="BT31" s="46"/>
      <c r="BU31" s="47"/>
      <c r="BV31" s="211"/>
      <c r="BW31" s="47"/>
      <c r="BX31" s="212"/>
      <c r="BY31" s="47"/>
      <c r="BZ31" s="211"/>
      <c r="CA31" s="47"/>
      <c r="CB31" s="212"/>
      <c r="CC31" s="47"/>
      <c r="CD31" s="211"/>
      <c r="CE31" s="47"/>
      <c r="CF31" s="212"/>
      <c r="CG31" s="47"/>
      <c r="CH31" s="211"/>
      <c r="CI31" s="47"/>
      <c r="CJ31" s="59"/>
      <c r="DJ31" s="60"/>
      <c r="DK31" s="53"/>
      <c r="DL31" s="43"/>
      <c r="DM31" s="43"/>
      <c r="DN31" s="43"/>
      <c r="DO31" s="43"/>
      <c r="DP31" s="43"/>
      <c r="DQ31" s="43"/>
      <c r="DR31" s="43"/>
      <c r="DS31" s="43"/>
      <c r="DT31" s="43"/>
      <c r="DU31" s="43"/>
      <c r="DV31" s="43"/>
      <c r="DW31" s="43"/>
      <c r="DX31" s="43"/>
      <c r="DY31" s="43"/>
      <c r="DZ31" s="43"/>
      <c r="EA31" s="43"/>
      <c r="EB31" s="43"/>
      <c r="EC31" s="43"/>
      <c r="ED31" s="43"/>
      <c r="EE31" s="43"/>
      <c r="EF31" s="43"/>
      <c r="EG31" s="43"/>
      <c r="EH31" s="43"/>
      <c r="EI31" s="43"/>
      <c r="EJ31" s="43"/>
      <c r="EK31" s="43"/>
      <c r="EL31" s="43"/>
      <c r="EM31" s="43"/>
      <c r="EN31" s="43"/>
      <c r="EO31" s="43"/>
      <c r="EP31" s="43"/>
      <c r="EQ31" s="43"/>
      <c r="ER31" s="43"/>
      <c r="ES31" s="43"/>
      <c r="ET31" s="43"/>
      <c r="EU31" s="43"/>
      <c r="EV31" s="43"/>
      <c r="EW31" s="43"/>
      <c r="EX31" s="43"/>
      <c r="EY31" s="43"/>
      <c r="EZ31" s="43"/>
      <c r="FA31" s="43"/>
      <c r="FB31" s="43"/>
      <c r="FC31" s="43"/>
      <c r="FD31" s="43"/>
      <c r="FE31" s="43"/>
      <c r="FF31" s="43"/>
      <c r="FG31" s="43"/>
      <c r="FH31" s="43"/>
      <c r="FI31" s="128"/>
      <c r="FJ31" s="128"/>
      <c r="FK31" s="128"/>
      <c r="FL31" s="128"/>
      <c r="FM31" s="128"/>
      <c r="FN31" s="128"/>
      <c r="FO31" s="128"/>
      <c r="FP31" s="128"/>
      <c r="FQ31" s="128"/>
      <c r="FR31" s="128"/>
      <c r="FS31" s="128"/>
      <c r="FT31" s="128"/>
      <c r="FU31" s="128"/>
      <c r="FV31" s="128"/>
      <c r="FW31" s="128"/>
      <c r="FX31" s="128"/>
      <c r="FY31" s="128"/>
      <c r="FZ31" s="128"/>
      <c r="GA31" s="128"/>
      <c r="GB31" s="128"/>
      <c r="GC31" s="128"/>
      <c r="GD31" s="128"/>
      <c r="GE31" s="43"/>
      <c r="GF31" s="43"/>
      <c r="GG31" s="43"/>
      <c r="GH31" s="43"/>
      <c r="GI31" s="43"/>
      <c r="GJ31" s="43"/>
      <c r="GK31" s="43"/>
      <c r="GL31" s="43"/>
      <c r="GM31" s="43"/>
      <c r="GN31" s="43"/>
      <c r="GO31" s="43"/>
      <c r="GP31" s="43"/>
      <c r="GQ31" s="43"/>
      <c r="GR31" s="43"/>
      <c r="GS31" s="43"/>
      <c r="GT31" s="43"/>
      <c r="GU31" s="43"/>
      <c r="GV31" s="43"/>
      <c r="GW31" s="43"/>
    </row>
    <row r="32" ht="15.0" customHeight="1">
      <c r="A32" s="44"/>
      <c r="B32" s="129"/>
      <c r="C32" s="119" t="s">
        <v>491</v>
      </c>
      <c r="D32" s="46"/>
      <c r="E32" s="46"/>
      <c r="F32" s="47"/>
      <c r="G32" s="192">
        <v>0.0</v>
      </c>
      <c r="H32" s="47"/>
      <c r="I32" s="204"/>
      <c r="J32" s="47"/>
      <c r="K32" s="130"/>
      <c r="L32" s="47"/>
      <c r="M32" s="205"/>
      <c r="N32" s="47"/>
      <c r="O32" s="195">
        <f t="shared" si="5"/>
        <v>0</v>
      </c>
      <c r="P32" s="47"/>
      <c r="Q32" s="155"/>
      <c r="R32" s="47"/>
      <c r="S32" s="195">
        <f t="shared" si="6"/>
        <v>-1</v>
      </c>
      <c r="T32" s="47"/>
      <c r="U32" s="206"/>
      <c r="V32" s="46"/>
      <c r="W32" s="46"/>
      <c r="X32" s="46"/>
      <c r="Y32" s="46"/>
      <c r="Z32" s="46"/>
      <c r="AA32" s="46"/>
      <c r="AB32" s="46"/>
      <c r="AC32" s="46"/>
      <c r="AD32" s="47"/>
      <c r="AE32" s="129"/>
      <c r="AF32" s="133" t="s">
        <v>493</v>
      </c>
      <c r="AG32" s="49"/>
      <c r="AH32" s="50"/>
      <c r="AI32" s="198" t="s">
        <v>493</v>
      </c>
      <c r="AJ32" s="46"/>
      <c r="AK32" s="46"/>
      <c r="AL32" s="46"/>
      <c r="AM32" s="46"/>
      <c r="AN32" s="46"/>
      <c r="AO32" s="46"/>
      <c r="AP32" s="46"/>
      <c r="AQ32" s="46"/>
      <c r="AR32" s="46"/>
      <c r="AS32" s="46"/>
      <c r="AT32" s="47"/>
      <c r="AU32" s="199" t="s">
        <v>424</v>
      </c>
      <c r="AV32" s="46"/>
      <c r="AW32" s="47"/>
      <c r="AX32" s="91"/>
      <c r="AY32" s="46"/>
      <c r="AZ32" s="47"/>
      <c r="BA32" s="200">
        <f>vlookup(AU32,$CZ$155:$DI$186,3,false)+vlookup(AF32,$CZ$155:$DI$186,3,false)+AX32+vlookup(AF32,$CZ$155:$DI$186,9,false)+1</f>
        <v>3</v>
      </c>
      <c r="BB32" s="46"/>
      <c r="BC32" s="47"/>
      <c r="BD32" s="200">
        <f>vlookup(AU32,$CZ$155:$DI$186,3,false)+vlookup(AF32,$CZ$155:$DI$186,3,false)+AX32+vlookup(AF32,$CZ$155:$DI$186,9,false)</f>
        <v>2</v>
      </c>
      <c r="BE32" s="46"/>
      <c r="BF32" s="47"/>
      <c r="BG32" s="200">
        <f>vlookup(AU32,$CZ$155:$DI$186,5,false)+vlookup(AF32,$CZ$155:$DI$186,5,false)</f>
        <v>-1</v>
      </c>
      <c r="BH32" s="47"/>
      <c r="BI32" s="207" t="s">
        <v>494</v>
      </c>
      <c r="BJ32" s="46"/>
      <c r="BK32" s="46"/>
      <c r="BL32" s="47"/>
      <c r="BM32" s="213" t="s">
        <v>495</v>
      </c>
      <c r="BN32" s="46"/>
      <c r="BO32" s="46"/>
      <c r="BP32" s="46"/>
      <c r="BQ32" s="46"/>
      <c r="BR32" s="46"/>
      <c r="BS32" s="46"/>
      <c r="BT32" s="46"/>
      <c r="BU32" s="47"/>
      <c r="BV32" s="211"/>
      <c r="BW32" s="47"/>
      <c r="BX32" s="214"/>
      <c r="BY32" s="47"/>
      <c r="BZ32" s="211"/>
      <c r="CA32" s="47"/>
      <c r="CB32" s="212"/>
      <c r="CC32" s="47"/>
      <c r="CD32" s="211"/>
      <c r="CE32" s="47"/>
      <c r="CF32" s="212"/>
      <c r="CG32" s="47"/>
      <c r="CH32" s="211"/>
      <c r="CI32" s="47"/>
      <c r="CJ32" s="59"/>
      <c r="DJ32" s="60"/>
      <c r="DK32" s="53"/>
      <c r="DL32" s="43"/>
      <c r="DM32" s="43"/>
      <c r="DN32" s="43"/>
      <c r="DO32" s="43"/>
      <c r="DP32" s="43"/>
      <c r="DQ32" s="43"/>
      <c r="DR32" s="43"/>
      <c r="DS32" s="43"/>
      <c r="DT32" s="43"/>
      <c r="DU32" s="43"/>
      <c r="DV32" s="43"/>
      <c r="DW32" s="43"/>
      <c r="DX32" s="43"/>
      <c r="DY32" s="43"/>
      <c r="DZ32" s="43"/>
      <c r="EA32" s="43"/>
      <c r="EB32" s="43"/>
      <c r="EC32" s="43"/>
      <c r="ED32" s="43"/>
      <c r="EE32" s="43"/>
      <c r="EF32" s="43"/>
      <c r="EG32" s="43"/>
      <c r="EH32" s="43"/>
      <c r="EI32" s="43"/>
      <c r="EJ32" s="43"/>
      <c r="EK32" s="43"/>
      <c r="EL32" s="43"/>
      <c r="EM32" s="43"/>
      <c r="EN32" s="43"/>
      <c r="EO32" s="43"/>
      <c r="EP32" s="43"/>
      <c r="EQ32" s="43"/>
      <c r="ER32" s="43"/>
      <c r="ES32" s="43"/>
      <c r="ET32" s="43"/>
      <c r="EU32" s="43"/>
      <c r="EV32" s="43"/>
      <c r="EW32" s="43"/>
      <c r="EX32" s="43"/>
      <c r="EY32" s="43"/>
      <c r="EZ32" s="43"/>
      <c r="FA32" s="43"/>
      <c r="FB32" s="43"/>
      <c r="FC32" s="43"/>
      <c r="FD32" s="43"/>
      <c r="FE32" s="43"/>
      <c r="FF32" s="43"/>
      <c r="FG32" s="43"/>
      <c r="FH32" s="43"/>
      <c r="FI32" s="128"/>
      <c r="FJ32" s="128"/>
      <c r="FK32" s="128"/>
      <c r="FL32" s="128"/>
      <c r="FM32" s="128"/>
      <c r="FN32" s="128"/>
      <c r="FO32" s="128"/>
      <c r="FP32" s="128"/>
      <c r="FQ32" s="128"/>
      <c r="FR32" s="128"/>
      <c r="FS32" s="128"/>
      <c r="FT32" s="128"/>
      <c r="FU32" s="128"/>
      <c r="FV32" s="128"/>
      <c r="FW32" s="128"/>
      <c r="FX32" s="128"/>
      <c r="FY32" s="128"/>
      <c r="FZ32" s="128"/>
      <c r="GA32" s="128"/>
      <c r="GB32" s="128"/>
      <c r="GC32" s="128"/>
      <c r="GD32" s="128"/>
      <c r="GE32" s="43"/>
      <c r="GF32" s="43"/>
      <c r="GG32" s="43"/>
      <c r="GH32" s="43"/>
      <c r="GI32" s="43"/>
      <c r="GJ32" s="43"/>
      <c r="GK32" s="43"/>
      <c r="GL32" s="43"/>
      <c r="GM32" s="43"/>
      <c r="GN32" s="43"/>
      <c r="GO32" s="43"/>
      <c r="GP32" s="43"/>
      <c r="GQ32" s="43"/>
      <c r="GR32" s="43"/>
      <c r="GS32" s="43"/>
      <c r="GT32" s="43"/>
      <c r="GU32" s="43"/>
      <c r="GV32" s="43"/>
      <c r="GW32" s="43"/>
    </row>
    <row r="33" ht="15.0" customHeight="1">
      <c r="A33" s="44"/>
      <c r="B33" s="129"/>
      <c r="C33" s="119" t="s">
        <v>496</v>
      </c>
      <c r="D33" s="46"/>
      <c r="E33" s="46"/>
      <c r="F33" s="47"/>
      <c r="G33" s="192">
        <v>0.0</v>
      </c>
      <c r="H33" s="47"/>
      <c r="I33" s="193"/>
      <c r="J33" s="47"/>
      <c r="K33" s="130"/>
      <c r="L33" s="47"/>
      <c r="M33" s="205"/>
      <c r="N33" s="47"/>
      <c r="O33" s="195">
        <f t="shared" si="5"/>
        <v>0</v>
      </c>
      <c r="P33" s="47"/>
      <c r="Q33" s="155"/>
      <c r="R33" s="47"/>
      <c r="S33" s="195">
        <f t="shared" si="6"/>
        <v>-1</v>
      </c>
      <c r="T33" s="47"/>
      <c r="U33" s="215"/>
      <c r="V33" s="46"/>
      <c r="W33" s="46"/>
      <c r="X33" s="46"/>
      <c r="Y33" s="46"/>
      <c r="Z33" s="46"/>
      <c r="AA33" s="46"/>
      <c r="AB33" s="46"/>
      <c r="AC33" s="46"/>
      <c r="AD33" s="47"/>
      <c r="AE33" s="129"/>
      <c r="AF33" s="70"/>
      <c r="AG33" s="57"/>
      <c r="AH33" s="58"/>
      <c r="AI33" s="198" t="s">
        <v>497</v>
      </c>
      <c r="AJ33" s="46"/>
      <c r="AK33" s="46"/>
      <c r="AL33" s="47"/>
      <c r="AM33" s="198" t="s">
        <v>498</v>
      </c>
      <c r="AN33" s="46"/>
      <c r="AO33" s="46"/>
      <c r="AP33" s="47"/>
      <c r="AQ33" s="198" t="s">
        <v>499</v>
      </c>
      <c r="AR33" s="46"/>
      <c r="AS33" s="46"/>
      <c r="AT33" s="47"/>
      <c r="AU33" s="199" t="s">
        <v>432</v>
      </c>
      <c r="AV33" s="46"/>
      <c r="AW33" s="47"/>
      <c r="AX33" s="91"/>
      <c r="AY33" s="46"/>
      <c r="AZ33" s="47"/>
      <c r="BA33" s="200">
        <f>vlookup(AU33,$CZ$155:$DI$186,3,false)+vlookup(AF32,$CZ$155:$DI$186,3,false)+AX33+vlookup(AF32,$CZ$155:$DI$186,9,false)+1</f>
        <v>3</v>
      </c>
      <c r="BB33" s="46"/>
      <c r="BC33" s="47"/>
      <c r="BD33" s="200">
        <f>vlookup(AU33,$CZ$155:$DI$186,3,false)+vlookup(AF32,$CZ$155:$DI$186,3,false)+AX33+vlookup(AF32,$CZ$155:$DI$186,9,false)</f>
        <v>2</v>
      </c>
      <c r="BE33" s="46"/>
      <c r="BF33" s="47"/>
      <c r="BG33" s="200">
        <f>vlookup(AU33,$CZ$155:$DI$186,5,false)+vlookup(AF32,$CZ$155:$DI$186,5,false)</f>
        <v>-1</v>
      </c>
      <c r="BH33" s="47"/>
      <c r="BI33" s="94" t="s">
        <v>500</v>
      </c>
      <c r="BJ33" s="46"/>
      <c r="BK33" s="46"/>
      <c r="BL33" s="47"/>
      <c r="BM33" s="208" t="str">
        <f>SUM(BP33:CI33)&amp;"米"</f>
        <v>9米</v>
      </c>
      <c r="BN33" s="46"/>
      <c r="BO33" s="47"/>
      <c r="BP33" s="209">
        <f t="array" ref="BP33">V18+V19+INDEX({8,16,0,5,12,1,2,5},MATCH(BM32,{"超大型","超巨型","超微型","大型","巨型","微型","小型","中型"},0))</f>
        <v>9</v>
      </c>
      <c r="BQ33" s="46"/>
      <c r="BR33" s="47"/>
      <c r="BS33" s="210"/>
      <c r="BT33" s="46"/>
      <c r="BU33" s="47"/>
      <c r="BV33" s="211"/>
      <c r="BW33" s="47"/>
      <c r="BX33" s="214"/>
      <c r="BY33" s="47"/>
      <c r="BZ33" s="211"/>
      <c r="CA33" s="47"/>
      <c r="CB33" s="212"/>
      <c r="CC33" s="47"/>
      <c r="CD33" s="211"/>
      <c r="CE33" s="47"/>
      <c r="CF33" s="212"/>
      <c r="CG33" s="47"/>
      <c r="CH33" s="211"/>
      <c r="CI33" s="47"/>
      <c r="CJ33" s="59"/>
      <c r="DJ33" s="60"/>
      <c r="DK33" s="53"/>
      <c r="DL33" s="43"/>
      <c r="DM33" s="43"/>
      <c r="DN33" s="43"/>
      <c r="DO33" s="43"/>
      <c r="DP33" s="43"/>
      <c r="DQ33" s="43"/>
      <c r="DR33" s="43"/>
      <c r="DS33" s="43"/>
      <c r="DT33" s="43"/>
      <c r="DU33" s="43"/>
      <c r="DV33" s="43"/>
      <c r="DW33" s="43"/>
      <c r="DX33" s="43"/>
      <c r="DY33" s="43"/>
      <c r="DZ33" s="43"/>
      <c r="EA33" s="43"/>
      <c r="EB33" s="43"/>
      <c r="EC33" s="43"/>
      <c r="ED33" s="43"/>
      <c r="EE33" s="43"/>
      <c r="EF33" s="43"/>
      <c r="EG33" s="43"/>
      <c r="EH33" s="43"/>
      <c r="EI33" s="43"/>
      <c r="EJ33" s="43"/>
      <c r="EK33" s="43"/>
      <c r="EL33" s="43"/>
      <c r="EM33" s="43"/>
      <c r="EN33" s="43"/>
      <c r="EO33" s="43"/>
      <c r="EP33" s="43"/>
      <c r="EQ33" s="43"/>
      <c r="ER33" s="43"/>
      <c r="ES33" s="43"/>
      <c r="ET33" s="43"/>
      <c r="EU33" s="43"/>
      <c r="EV33" s="43"/>
      <c r="EW33" s="43"/>
      <c r="EX33" s="43"/>
      <c r="EY33" s="43"/>
      <c r="EZ33" s="43"/>
      <c r="FA33" s="43"/>
      <c r="FB33" s="43"/>
      <c r="FC33" s="43"/>
      <c r="FD33" s="43"/>
      <c r="FE33" s="43"/>
      <c r="FF33" s="43"/>
      <c r="FG33" s="43"/>
      <c r="FH33" s="43"/>
      <c r="FI33" s="128"/>
      <c r="FJ33" s="128"/>
      <c r="FK33" s="128"/>
      <c r="FL33" s="128"/>
      <c r="FM33" s="128"/>
      <c r="FN33" s="128"/>
      <c r="FO33" s="128"/>
      <c r="FP33" s="128"/>
      <c r="FQ33" s="128"/>
      <c r="FR33" s="128"/>
      <c r="FS33" s="128"/>
      <c r="FT33" s="128"/>
      <c r="FU33" s="128"/>
      <c r="FV33" s="128"/>
      <c r="FW33" s="128"/>
      <c r="FX33" s="128"/>
      <c r="FY33" s="128"/>
      <c r="FZ33" s="128"/>
      <c r="GA33" s="128"/>
      <c r="GB33" s="128"/>
      <c r="GC33" s="128"/>
      <c r="GD33" s="128"/>
      <c r="GE33" s="43"/>
      <c r="GF33" s="43"/>
      <c r="GG33" s="43"/>
      <c r="GH33" s="43"/>
      <c r="GI33" s="43"/>
      <c r="GJ33" s="43"/>
      <c r="GK33" s="43"/>
      <c r="GL33" s="43"/>
      <c r="GM33" s="43"/>
      <c r="GN33" s="43"/>
      <c r="GO33" s="43"/>
      <c r="GP33" s="43"/>
      <c r="GQ33" s="43"/>
      <c r="GR33" s="43"/>
      <c r="GS33" s="43"/>
      <c r="GT33" s="43"/>
      <c r="GU33" s="43"/>
      <c r="GV33" s="43"/>
      <c r="GW33" s="43"/>
    </row>
    <row r="34" ht="15.0" customHeight="1">
      <c r="A34" s="44"/>
      <c r="B34" s="129"/>
      <c r="C34" s="119" t="s">
        <v>493</v>
      </c>
      <c r="D34" s="46"/>
      <c r="E34" s="46"/>
      <c r="F34" s="47"/>
      <c r="G34" s="192">
        <v>0.0</v>
      </c>
      <c r="H34" s="47"/>
      <c r="I34" s="204"/>
      <c r="J34" s="47"/>
      <c r="K34" s="124"/>
      <c r="L34" s="47"/>
      <c r="M34" s="205"/>
      <c r="N34" s="47"/>
      <c r="O34" s="195">
        <f t="shared" si="5"/>
        <v>0</v>
      </c>
      <c r="P34" s="47"/>
      <c r="Q34" s="155"/>
      <c r="R34" s="47"/>
      <c r="S34" s="195">
        <f t="shared" si="6"/>
        <v>-1</v>
      </c>
      <c r="T34" s="47"/>
      <c r="U34" s="206"/>
      <c r="V34" s="46"/>
      <c r="W34" s="46"/>
      <c r="X34" s="46"/>
      <c r="Y34" s="46"/>
      <c r="Z34" s="46"/>
      <c r="AA34" s="46"/>
      <c r="AB34" s="46"/>
      <c r="AC34" s="46"/>
      <c r="AD34" s="47"/>
      <c r="AE34" s="129"/>
      <c r="AF34" s="119" t="s">
        <v>501</v>
      </c>
      <c r="AG34" s="46"/>
      <c r="AH34" s="47"/>
      <c r="AI34" s="198" t="s">
        <v>502</v>
      </c>
      <c r="AJ34" s="46"/>
      <c r="AK34" s="46"/>
      <c r="AL34" s="46"/>
      <c r="AM34" s="46"/>
      <c r="AN34" s="46"/>
      <c r="AO34" s="46"/>
      <c r="AP34" s="46"/>
      <c r="AQ34" s="46"/>
      <c r="AR34" s="46"/>
      <c r="AS34" s="46"/>
      <c r="AT34" s="47"/>
      <c r="AU34" s="199" t="s">
        <v>424</v>
      </c>
      <c r="AV34" s="46"/>
      <c r="AW34" s="47"/>
      <c r="AX34" s="91"/>
      <c r="AY34" s="46"/>
      <c r="AZ34" s="47"/>
      <c r="BA34" s="200">
        <f t="shared" ref="BA34:BA35" si="7">vlookup(AU34,$CZ$155:$DI$186,3,false)+vlookup(AF34,$CZ$155:$DI$186,3,false)+AX34+vlookup(AF34,$CZ$155:$DI$186,9,false)+1</f>
        <v>3</v>
      </c>
      <c r="BB34" s="46"/>
      <c r="BC34" s="47"/>
      <c r="BD34" s="200">
        <f t="shared" ref="BD34:BD35" si="8">vlookup(AU34,$CZ$155:$DI$186,3,false)+vlookup(AF34,$CZ$155:$DI$186,3,false)+AX34+vlookup(AF34,$CZ$155:$DI$186,9,false)</f>
        <v>2</v>
      </c>
      <c r="BE34" s="46"/>
      <c r="BF34" s="47"/>
      <c r="BG34" s="200">
        <f t="shared" ref="BG34:BG35" si="9">vlookup(AU34,$CZ$155:$DI$186,5,false)+vlookup(AF34,$CZ$155:$DI$186,5,false)</f>
        <v>-1</v>
      </c>
      <c r="BH34" s="47"/>
      <c r="BI34" s="207" t="s">
        <v>503</v>
      </c>
      <c r="BJ34" s="46"/>
      <c r="BK34" s="46"/>
      <c r="BL34" s="47"/>
      <c r="BM34" s="208" t="str">
        <f>BP34+SUM(BV34:CI34)&amp;"米"</f>
        <v>9米</v>
      </c>
      <c r="BN34" s="46"/>
      <c r="BO34" s="47"/>
      <c r="BP34" s="209" t="str">
        <f>left(BM33,2*len(BM33)-LENB(BM33))</f>
        <v>9</v>
      </c>
      <c r="BQ34" s="46"/>
      <c r="BR34" s="47"/>
      <c r="BS34" s="210"/>
      <c r="BT34" s="46"/>
      <c r="BU34" s="47"/>
      <c r="BV34" s="211"/>
      <c r="BW34" s="47"/>
      <c r="BX34" s="212"/>
      <c r="BY34" s="47"/>
      <c r="BZ34" s="211"/>
      <c r="CA34" s="47"/>
      <c r="CB34" s="214"/>
      <c r="CC34" s="47"/>
      <c r="CD34" s="211"/>
      <c r="CE34" s="47"/>
      <c r="CF34" s="212"/>
      <c r="CG34" s="47"/>
      <c r="CH34" s="211"/>
      <c r="CI34" s="47"/>
      <c r="CJ34" s="59"/>
      <c r="DJ34" s="60"/>
      <c r="DK34" s="53"/>
      <c r="DL34" s="43"/>
      <c r="DM34" s="43"/>
      <c r="DN34" s="43"/>
      <c r="DO34" s="43"/>
      <c r="DP34" s="43"/>
      <c r="DQ34" s="43"/>
      <c r="DR34" s="43"/>
      <c r="DS34" s="43"/>
      <c r="DT34" s="43"/>
      <c r="DU34" s="43"/>
      <c r="DV34" s="43"/>
      <c r="DW34" s="43"/>
      <c r="DX34" s="43"/>
      <c r="DY34" s="43"/>
      <c r="DZ34" s="43"/>
      <c r="EA34" s="43"/>
      <c r="EB34" s="43"/>
      <c r="EC34" s="43"/>
      <c r="ED34" s="43"/>
      <c r="EE34" s="43"/>
      <c r="EF34" s="43"/>
      <c r="EG34" s="43"/>
      <c r="EH34" s="43"/>
      <c r="EI34" s="43"/>
      <c r="EJ34" s="43"/>
      <c r="EK34" s="43"/>
      <c r="EL34" s="43"/>
      <c r="EM34" s="43"/>
      <c r="EN34" s="43"/>
      <c r="EO34" s="43"/>
      <c r="EP34" s="43"/>
      <c r="EQ34" s="43"/>
      <c r="ER34" s="43"/>
      <c r="ES34" s="43"/>
      <c r="ET34" s="43"/>
      <c r="EU34" s="43"/>
      <c r="EV34" s="43"/>
      <c r="EW34" s="43"/>
      <c r="EX34" s="43"/>
      <c r="EY34" s="43"/>
      <c r="EZ34" s="43"/>
      <c r="FA34" s="43"/>
      <c r="FB34" s="43"/>
      <c r="FC34" s="43"/>
      <c r="FD34" s="43"/>
      <c r="FE34" s="43"/>
      <c r="FF34" s="43"/>
      <c r="FG34" s="43"/>
      <c r="FH34" s="43"/>
      <c r="FI34" s="128"/>
      <c r="FJ34" s="128"/>
      <c r="FK34" s="128"/>
      <c r="FL34" s="128"/>
      <c r="FM34" s="128"/>
      <c r="FN34" s="128"/>
      <c r="FO34" s="128"/>
      <c r="FP34" s="128"/>
      <c r="FQ34" s="128"/>
      <c r="FR34" s="128"/>
      <c r="FS34" s="128"/>
      <c r="FT34" s="128"/>
      <c r="FU34" s="128"/>
      <c r="FV34" s="128"/>
      <c r="FW34" s="128"/>
      <c r="FX34" s="128"/>
      <c r="FY34" s="128"/>
      <c r="FZ34" s="128"/>
      <c r="GA34" s="128"/>
      <c r="GB34" s="128"/>
      <c r="GC34" s="128"/>
      <c r="GD34" s="128"/>
      <c r="GE34" s="43"/>
      <c r="GF34" s="43"/>
      <c r="GG34" s="43"/>
      <c r="GH34" s="43"/>
      <c r="GI34" s="43"/>
      <c r="GJ34" s="43"/>
      <c r="GK34" s="43"/>
      <c r="GL34" s="43"/>
      <c r="GM34" s="43"/>
      <c r="GN34" s="43"/>
      <c r="GO34" s="43"/>
      <c r="GP34" s="43"/>
      <c r="GQ34" s="43"/>
      <c r="GR34" s="43"/>
      <c r="GS34" s="43"/>
      <c r="GT34" s="43"/>
      <c r="GU34" s="43"/>
      <c r="GV34" s="43"/>
      <c r="GW34" s="43"/>
    </row>
    <row r="35" ht="15.0" customHeight="1">
      <c r="A35" s="44"/>
      <c r="B35" s="129"/>
      <c r="C35" s="119" t="s">
        <v>501</v>
      </c>
      <c r="D35" s="46"/>
      <c r="E35" s="46"/>
      <c r="F35" s="47"/>
      <c r="G35" s="192">
        <v>0.0</v>
      </c>
      <c r="H35" s="47"/>
      <c r="I35" s="204"/>
      <c r="J35" s="47"/>
      <c r="K35" s="130"/>
      <c r="L35" s="47"/>
      <c r="M35" s="205"/>
      <c r="N35" s="47"/>
      <c r="O35" s="195">
        <f t="shared" si="5"/>
        <v>0</v>
      </c>
      <c r="P35" s="47"/>
      <c r="Q35" s="155"/>
      <c r="R35" s="47"/>
      <c r="S35" s="195">
        <f t="shared" si="6"/>
        <v>-1</v>
      </c>
      <c r="T35" s="47"/>
      <c r="U35" s="206"/>
      <c r="V35" s="46"/>
      <c r="W35" s="46"/>
      <c r="X35" s="46"/>
      <c r="Y35" s="46"/>
      <c r="Z35" s="46"/>
      <c r="AA35" s="46"/>
      <c r="AB35" s="46"/>
      <c r="AC35" s="46"/>
      <c r="AD35" s="47"/>
      <c r="AE35" s="132"/>
      <c r="AF35" s="119" t="s">
        <v>505</v>
      </c>
      <c r="AG35" s="46"/>
      <c r="AH35" s="47"/>
      <c r="AI35" s="198" t="s">
        <v>506</v>
      </c>
      <c r="AJ35" s="46"/>
      <c r="AK35" s="46"/>
      <c r="AL35" s="46"/>
      <c r="AM35" s="46"/>
      <c r="AN35" s="47"/>
      <c r="AO35" s="198" t="s">
        <v>507</v>
      </c>
      <c r="AP35" s="46"/>
      <c r="AQ35" s="46"/>
      <c r="AR35" s="46"/>
      <c r="AS35" s="46"/>
      <c r="AT35" s="47"/>
      <c r="AU35" s="199" t="s">
        <v>436</v>
      </c>
      <c r="AV35" s="46"/>
      <c r="AW35" s="47"/>
      <c r="AX35" s="91"/>
      <c r="AY35" s="46"/>
      <c r="AZ35" s="47"/>
      <c r="BA35" s="200">
        <f t="shared" si="7"/>
        <v>3</v>
      </c>
      <c r="BB35" s="46"/>
      <c r="BC35" s="47"/>
      <c r="BD35" s="200">
        <f t="shared" si="8"/>
        <v>2</v>
      </c>
      <c r="BE35" s="46"/>
      <c r="BF35" s="47"/>
      <c r="BG35" s="200">
        <f t="shared" si="9"/>
        <v>-1</v>
      </c>
      <c r="BH35" s="47"/>
      <c r="BI35" s="207" t="s">
        <v>508</v>
      </c>
      <c r="BJ35" s="46"/>
      <c r="BK35" s="46"/>
      <c r="BL35" s="47"/>
      <c r="BM35" s="208">
        <f t="shared" ref="BM35:BM37" si="10">SUM(BP35:CI35)</f>
        <v>4</v>
      </c>
      <c r="BN35" s="46"/>
      <c r="BO35" s="47"/>
      <c r="BP35" s="209">
        <f>V19+V26</f>
        <v>4</v>
      </c>
      <c r="BQ35" s="46"/>
      <c r="BR35" s="47"/>
      <c r="BS35" s="209">
        <f>X26*3</f>
        <v>0</v>
      </c>
      <c r="BT35" s="46"/>
      <c r="BU35" s="47"/>
      <c r="BV35" s="211"/>
      <c r="BW35" s="47"/>
      <c r="BX35" s="212"/>
      <c r="BY35" s="47"/>
      <c r="BZ35" s="211"/>
      <c r="CA35" s="47"/>
      <c r="CB35" s="212"/>
      <c r="CC35" s="47"/>
      <c r="CD35" s="211"/>
      <c r="CE35" s="47"/>
      <c r="CF35" s="212"/>
      <c r="CG35" s="47"/>
      <c r="CH35" s="211"/>
      <c r="CI35" s="47"/>
      <c r="CJ35" s="59"/>
      <c r="DJ35" s="60"/>
      <c r="DK35" s="53"/>
      <c r="DL35" s="43"/>
      <c r="DM35" s="43"/>
      <c r="DN35" s="43"/>
      <c r="DO35" s="43"/>
      <c r="DP35" s="43"/>
      <c r="DQ35" s="43"/>
      <c r="DR35" s="43"/>
      <c r="DS35" s="43"/>
      <c r="DT35" s="43"/>
      <c r="DU35" s="43"/>
      <c r="DV35" s="43"/>
      <c r="DW35" s="43"/>
      <c r="DX35" s="43"/>
      <c r="DY35" s="43"/>
      <c r="DZ35" s="43"/>
      <c r="EA35" s="43"/>
      <c r="EB35" s="43"/>
      <c r="EC35" s="43"/>
      <c r="ED35" s="43"/>
      <c r="EE35" s="43"/>
      <c r="EF35" s="43"/>
      <c r="EG35" s="43"/>
      <c r="EH35" s="43"/>
      <c r="EI35" s="43"/>
      <c r="EJ35" s="43"/>
      <c r="EK35" s="43"/>
      <c r="EL35" s="43"/>
      <c r="EM35" s="43"/>
      <c r="EN35" s="43"/>
      <c r="EO35" s="43"/>
      <c r="EP35" s="43"/>
      <c r="EQ35" s="43"/>
      <c r="ER35" s="43"/>
      <c r="ES35" s="43"/>
      <c r="ET35" s="43"/>
      <c r="EU35" s="43"/>
      <c r="EV35" s="43"/>
      <c r="EW35" s="43"/>
      <c r="EX35" s="43"/>
      <c r="EY35" s="43"/>
      <c r="EZ35" s="43"/>
      <c r="FA35" s="43"/>
      <c r="FB35" s="43"/>
      <c r="FC35" s="43"/>
      <c r="FD35" s="43"/>
      <c r="FE35" s="43"/>
      <c r="FF35" s="43"/>
      <c r="FG35" s="43"/>
      <c r="FH35" s="43"/>
      <c r="FI35" s="189"/>
      <c r="FJ35" s="189"/>
      <c r="FK35" s="189"/>
      <c r="FL35" s="189"/>
      <c r="FM35" s="189"/>
      <c r="FN35" s="189"/>
      <c r="FO35" s="189"/>
      <c r="FP35" s="189"/>
      <c r="FQ35" s="189"/>
      <c r="FR35" s="189"/>
      <c r="FS35" s="189"/>
      <c r="FT35" s="189"/>
      <c r="FU35" s="128"/>
      <c r="FV35" s="128"/>
      <c r="FW35" s="128"/>
      <c r="FX35" s="128"/>
      <c r="FY35" s="128"/>
      <c r="FZ35" s="128"/>
      <c r="GA35" s="128"/>
      <c r="GB35" s="128"/>
      <c r="GC35" s="128"/>
      <c r="GD35" s="128"/>
      <c r="GE35" s="43"/>
      <c r="GF35" s="43"/>
      <c r="GG35" s="43"/>
      <c r="GH35" s="43"/>
      <c r="GI35" s="43"/>
      <c r="GJ35" s="43"/>
      <c r="GK35" s="43"/>
      <c r="GL35" s="43"/>
      <c r="GM35" s="43"/>
      <c r="GN35" s="43"/>
      <c r="GO35" s="43"/>
      <c r="GP35" s="43"/>
      <c r="GQ35" s="43"/>
      <c r="GR35" s="43"/>
      <c r="GS35" s="43"/>
      <c r="GT35" s="43"/>
      <c r="GU35" s="43"/>
      <c r="GV35" s="43"/>
      <c r="GW35" s="43"/>
    </row>
    <row r="36" ht="15.0" customHeight="1">
      <c r="A36" s="44"/>
      <c r="B36" s="129"/>
      <c r="C36" s="119" t="s">
        <v>505</v>
      </c>
      <c r="D36" s="46"/>
      <c r="E36" s="46"/>
      <c r="F36" s="47"/>
      <c r="G36" s="192">
        <v>0.0</v>
      </c>
      <c r="H36" s="47"/>
      <c r="I36" s="204"/>
      <c r="J36" s="47"/>
      <c r="K36" s="130"/>
      <c r="L36" s="47"/>
      <c r="M36" s="194"/>
      <c r="N36" s="47"/>
      <c r="O36" s="195">
        <f t="shared" si="5"/>
        <v>0</v>
      </c>
      <c r="P36" s="47"/>
      <c r="Q36" s="155"/>
      <c r="R36" s="47"/>
      <c r="S36" s="195">
        <f t="shared" si="6"/>
        <v>-1</v>
      </c>
      <c r="T36" s="47"/>
      <c r="U36" s="196"/>
      <c r="V36" s="46"/>
      <c r="W36" s="46"/>
      <c r="X36" s="46"/>
      <c r="Y36" s="46"/>
      <c r="Z36" s="46"/>
      <c r="AA36" s="46"/>
      <c r="AB36" s="46"/>
      <c r="AC36" s="46"/>
      <c r="AD36" s="47"/>
      <c r="AE36" s="197" t="s">
        <v>510</v>
      </c>
      <c r="AF36" s="217" t="s">
        <v>511</v>
      </c>
      <c r="AG36" s="46"/>
      <c r="AH36" s="47"/>
      <c r="AI36" s="198" t="s">
        <v>512</v>
      </c>
      <c r="AJ36" s="46"/>
      <c r="AK36" s="46"/>
      <c r="AL36" s="47"/>
      <c r="AM36" s="198" t="s">
        <v>513</v>
      </c>
      <c r="AN36" s="46"/>
      <c r="AO36" s="46"/>
      <c r="AP36" s="47"/>
      <c r="AQ36" s="198" t="s">
        <v>514</v>
      </c>
      <c r="AR36" s="46"/>
      <c r="AS36" s="46"/>
      <c r="AT36" s="47"/>
      <c r="AU36" s="199" t="s">
        <v>432</v>
      </c>
      <c r="AV36" s="46"/>
      <c r="AW36" s="47"/>
      <c r="AX36" s="91"/>
      <c r="AY36" s="46"/>
      <c r="AZ36" s="47"/>
      <c r="BA36" s="200" t="str">
        <f t="shared" ref="BA36:BA37" si="11">iferror(vlookup(AU36,$CZ$155:$DI$186,3,false)+vlookup(AF36,$CZ$155:$DI$186,3,false)+AX36+vlookup(AF36,$CZ$155:$DI$186,9,false)+1,"無效")</f>
        <v>無效</v>
      </c>
      <c r="BB36" s="46"/>
      <c r="BC36" s="47"/>
      <c r="BD36" s="200" t="str">
        <f t="shared" ref="BD36:BD37" si="12">iferror(vlookup(AU36,$CZ$155:$DI$186,3,false)+vlookup(AF36,$CZ$155:$DI$186,3,false)+AX36+vlookup(AF36,$CZ$155:$DI$186,9,false),"無效")</f>
        <v>無效</v>
      </c>
      <c r="BE36" s="46"/>
      <c r="BF36" s="47"/>
      <c r="BG36" s="200" t="str">
        <f>iferror(VLOOKUP(AU36,$CZ$155:$DI$186,5,false)+vlookup(AF36,$CZ$155:$DI$186,5,false),"X")</f>
        <v>X</v>
      </c>
      <c r="BH36" s="47"/>
      <c r="BI36" s="94" t="s">
        <v>515</v>
      </c>
      <c r="BJ36" s="46"/>
      <c r="BK36" s="46"/>
      <c r="BL36" s="47"/>
      <c r="BM36" s="208">
        <f t="shared" si="10"/>
        <v>2</v>
      </c>
      <c r="BN36" s="46"/>
      <c r="BO36" s="47"/>
      <c r="BP36" s="209">
        <f>Min(V22)</f>
        <v>2</v>
      </c>
      <c r="BQ36" s="46"/>
      <c r="BR36" s="47"/>
      <c r="BS36" s="209">
        <f>X19+X22</f>
        <v>0</v>
      </c>
      <c r="BT36" s="46"/>
      <c r="BU36" s="47"/>
      <c r="BV36" s="211"/>
      <c r="BW36" s="47"/>
      <c r="BX36" s="212"/>
      <c r="BY36" s="47"/>
      <c r="BZ36" s="211"/>
      <c r="CA36" s="47"/>
      <c r="CB36" s="212"/>
      <c r="CC36" s="47"/>
      <c r="CD36" s="211"/>
      <c r="CE36" s="47"/>
      <c r="CF36" s="212"/>
      <c r="CG36" s="47"/>
      <c r="CH36" s="211"/>
      <c r="CI36" s="47"/>
      <c r="CJ36" s="59"/>
      <c r="DJ36" s="60"/>
      <c r="DK36" s="43"/>
      <c r="DL36" s="43"/>
      <c r="DM36" s="43"/>
      <c r="DN36" s="43"/>
      <c r="DO36" s="43"/>
      <c r="DP36" s="43"/>
      <c r="DQ36" s="43"/>
      <c r="DR36" s="43"/>
      <c r="DS36" s="43"/>
      <c r="DT36" s="43"/>
      <c r="DU36" s="43"/>
      <c r="DV36" s="43"/>
      <c r="DW36" s="43"/>
      <c r="DX36" s="43"/>
      <c r="DY36" s="43"/>
      <c r="DZ36" s="43"/>
      <c r="EA36" s="43"/>
      <c r="EB36" s="43"/>
      <c r="EC36" s="43"/>
      <c r="ED36" s="43"/>
      <c r="EE36" s="43"/>
      <c r="EF36" s="43"/>
      <c r="EG36" s="43"/>
      <c r="EH36" s="43"/>
      <c r="EI36" s="43"/>
      <c r="EJ36" s="43"/>
      <c r="EK36" s="43"/>
      <c r="EL36" s="43"/>
      <c r="EM36" s="43"/>
      <c r="EN36" s="43"/>
      <c r="EO36" s="43"/>
      <c r="EP36" s="43"/>
      <c r="EQ36" s="43"/>
      <c r="ER36" s="43"/>
      <c r="ES36" s="43"/>
      <c r="ET36" s="43"/>
      <c r="EU36" s="43"/>
      <c r="EV36" s="43"/>
      <c r="EW36" s="43"/>
      <c r="EX36" s="43"/>
      <c r="EY36" s="43"/>
      <c r="EZ36" s="43"/>
      <c r="FA36" s="43"/>
      <c r="FB36" s="43"/>
      <c r="FC36" s="43"/>
      <c r="FD36" s="43"/>
      <c r="FE36" s="43"/>
      <c r="FF36" s="43"/>
      <c r="FG36" s="43"/>
      <c r="FH36" s="43"/>
      <c r="FI36" s="128"/>
      <c r="FJ36" s="128"/>
      <c r="FK36" s="128"/>
      <c r="FL36" s="128"/>
      <c r="FM36" s="128"/>
      <c r="FN36" s="128"/>
      <c r="FO36" s="128"/>
      <c r="FP36" s="128"/>
      <c r="FQ36" s="128"/>
      <c r="FR36" s="128"/>
      <c r="FS36" s="128"/>
      <c r="FT36" s="128"/>
      <c r="FU36" s="128"/>
      <c r="FV36" s="128"/>
      <c r="FW36" s="128"/>
      <c r="FX36" s="128"/>
      <c r="FY36" s="128"/>
      <c r="FZ36" s="128"/>
      <c r="GA36" s="128"/>
      <c r="GB36" s="128"/>
      <c r="GC36" s="128"/>
      <c r="GD36" s="128"/>
      <c r="GE36" s="43"/>
      <c r="GF36" s="43"/>
      <c r="GG36" s="43"/>
      <c r="GH36" s="43"/>
      <c r="GI36" s="43"/>
      <c r="GJ36" s="43"/>
      <c r="GK36" s="43"/>
      <c r="GL36" s="43"/>
      <c r="GM36" s="43"/>
      <c r="GN36" s="43"/>
      <c r="GO36" s="43"/>
      <c r="GP36" s="43"/>
      <c r="GQ36" s="43"/>
      <c r="GR36" s="43"/>
      <c r="GS36" s="43"/>
      <c r="GT36" s="43"/>
      <c r="GU36" s="43"/>
      <c r="GV36" s="43"/>
      <c r="GW36" s="43"/>
    </row>
    <row r="37" ht="15.0" customHeight="1">
      <c r="A37" s="44"/>
      <c r="B37" s="129"/>
      <c r="C37" s="218" t="s">
        <v>516</v>
      </c>
      <c r="D37" s="49"/>
      <c r="E37" s="49"/>
      <c r="F37" s="50"/>
      <c r="G37" s="219">
        <v>0.0</v>
      </c>
      <c r="H37" s="50"/>
      <c r="I37" s="220"/>
      <c r="J37" s="50"/>
      <c r="K37" s="221"/>
      <c r="L37" s="50"/>
      <c r="M37" s="222"/>
      <c r="N37" s="50"/>
      <c r="O37" s="223">
        <f t="shared" si="5"/>
        <v>0</v>
      </c>
      <c r="P37" s="50"/>
      <c r="Q37" s="48"/>
      <c r="R37" s="50"/>
      <c r="S37" s="223">
        <f t="shared" si="6"/>
        <v>-1</v>
      </c>
      <c r="T37" s="50"/>
      <c r="U37" s="238"/>
      <c r="V37" s="49"/>
      <c r="W37" s="49"/>
      <c r="X37" s="49"/>
      <c r="Y37" s="49"/>
      <c r="Z37" s="49"/>
      <c r="AA37" s="49"/>
      <c r="AB37" s="49"/>
      <c r="AC37" s="49"/>
      <c r="AD37" s="50"/>
      <c r="AE37" s="129"/>
      <c r="AF37" s="218" t="s">
        <v>518</v>
      </c>
      <c r="AG37" s="49"/>
      <c r="AH37" s="50"/>
      <c r="AI37" s="198" t="s">
        <v>519</v>
      </c>
      <c r="AJ37" s="46"/>
      <c r="AK37" s="46"/>
      <c r="AL37" s="46"/>
      <c r="AM37" s="46"/>
      <c r="AN37" s="47"/>
      <c r="AO37" s="198" t="s">
        <v>520</v>
      </c>
      <c r="AP37" s="46"/>
      <c r="AQ37" s="46"/>
      <c r="AR37" s="46"/>
      <c r="AS37" s="46"/>
      <c r="AT37" s="47"/>
      <c r="AU37" s="199" t="s">
        <v>432</v>
      </c>
      <c r="AV37" s="46"/>
      <c r="AW37" s="47"/>
      <c r="AX37" s="91"/>
      <c r="AY37" s="46"/>
      <c r="AZ37" s="47"/>
      <c r="BA37" s="200" t="str">
        <f t="shared" si="11"/>
        <v>無效</v>
      </c>
      <c r="BB37" s="46"/>
      <c r="BC37" s="47"/>
      <c r="BD37" s="200" t="str">
        <f t="shared" si="12"/>
        <v>無效</v>
      </c>
      <c r="BE37" s="46"/>
      <c r="BF37" s="47"/>
      <c r="BG37" s="200" t="str">
        <f>iferror(VLOOKUP(AU37,$CZ$155:$DI$186,5,false)+vlookup(AF37,$CZ$155:$DI$186,5,false),"X")</f>
        <v>X</v>
      </c>
      <c r="BH37" s="47"/>
      <c r="BI37" s="207" t="s">
        <v>324</v>
      </c>
      <c r="BJ37" s="46"/>
      <c r="BK37" s="46"/>
      <c r="BL37" s="47"/>
      <c r="BM37" s="208">
        <f t="shared" si="10"/>
        <v>7</v>
      </c>
      <c r="BN37" s="46"/>
      <c r="BO37" s="47"/>
      <c r="BP37" s="209">
        <f t="array" ref="BP37">V20+INDEX({17,37,0,10,26,1,2,5},MATCH(BM32,{"超大型","超巨型","超微型","大型","巨型","微型","小型","中型"},0))</f>
        <v>7</v>
      </c>
      <c r="BQ37" s="46"/>
      <c r="BR37" s="47"/>
      <c r="BS37" s="209">
        <f>(X20*X20+X20)/2</f>
        <v>0</v>
      </c>
      <c r="BT37" s="46"/>
      <c r="BU37" s="47"/>
      <c r="BV37" s="211"/>
      <c r="BW37" s="47"/>
      <c r="BX37" s="212"/>
      <c r="BY37" s="47"/>
      <c r="BZ37" s="225"/>
      <c r="CA37" s="47"/>
      <c r="CB37" s="212"/>
      <c r="CC37" s="47"/>
      <c r="CD37" s="211"/>
      <c r="CE37" s="47"/>
      <c r="CF37" s="212"/>
      <c r="CG37" s="47"/>
      <c r="CH37" s="211"/>
      <c r="CI37" s="47"/>
      <c r="CJ37" s="59"/>
      <c r="DJ37" s="60"/>
      <c r="DK37" s="53"/>
      <c r="DL37" s="43"/>
      <c r="DM37" s="43"/>
      <c r="DN37" s="43"/>
      <c r="DO37" s="43"/>
      <c r="DP37" s="43"/>
      <c r="DQ37" s="43"/>
      <c r="DR37" s="43"/>
      <c r="DS37" s="43"/>
      <c r="DT37" s="43"/>
      <c r="DU37" s="43"/>
      <c r="DV37" s="43"/>
      <c r="DW37" s="43"/>
      <c r="DX37" s="43"/>
      <c r="DY37" s="43"/>
      <c r="DZ37" s="43"/>
      <c r="EA37" s="43"/>
      <c r="EB37" s="43"/>
      <c r="EC37" s="43"/>
      <c r="ED37" s="43"/>
      <c r="EE37" s="43"/>
      <c r="EF37" s="43"/>
      <c r="EG37" s="43"/>
      <c r="EH37" s="43"/>
      <c r="EI37" s="43"/>
      <c r="EJ37" s="43"/>
      <c r="EK37" s="43"/>
      <c r="EL37" s="43"/>
      <c r="EM37" s="43"/>
      <c r="EN37" s="43"/>
      <c r="EO37" s="43"/>
      <c r="EP37" s="43"/>
      <c r="EQ37" s="43"/>
      <c r="ER37" s="43"/>
      <c r="ES37" s="43"/>
      <c r="ET37" s="43"/>
      <c r="EU37" s="43"/>
      <c r="EV37" s="43"/>
      <c r="EW37" s="43"/>
      <c r="EX37" s="43"/>
      <c r="EY37" s="43"/>
      <c r="EZ37" s="43"/>
      <c r="FA37" s="43"/>
      <c r="FB37" s="43"/>
      <c r="FC37" s="43"/>
      <c r="FD37" s="43"/>
      <c r="FE37" s="43"/>
      <c r="FF37" s="43"/>
      <c r="FG37" s="43"/>
      <c r="FH37" s="43"/>
      <c r="FI37" s="128"/>
      <c r="FJ37" s="128"/>
      <c r="FK37" s="128"/>
      <c r="FL37" s="128"/>
      <c r="FM37" s="128"/>
      <c r="FN37" s="128"/>
      <c r="FO37" s="128"/>
      <c r="FP37" s="128"/>
      <c r="FQ37" s="128"/>
      <c r="FR37" s="128"/>
      <c r="FS37" s="128"/>
      <c r="FT37" s="128"/>
      <c r="FU37" s="128"/>
      <c r="FV37" s="128"/>
      <c r="FW37" s="128"/>
      <c r="FX37" s="128"/>
      <c r="FY37" s="128"/>
      <c r="FZ37" s="128"/>
      <c r="GA37" s="128"/>
      <c r="GB37" s="128"/>
      <c r="GC37" s="128"/>
      <c r="GD37" s="128"/>
      <c r="GE37" s="43"/>
      <c r="GF37" s="43"/>
      <c r="GG37" s="43"/>
      <c r="GH37" s="43"/>
      <c r="GI37" s="43"/>
      <c r="GJ37" s="43"/>
      <c r="GK37" s="43"/>
      <c r="GL37" s="43"/>
      <c r="GM37" s="43"/>
      <c r="GN37" s="43"/>
      <c r="GO37" s="43"/>
      <c r="GP37" s="43"/>
      <c r="GQ37" s="43"/>
      <c r="GR37" s="43"/>
      <c r="GS37" s="43"/>
      <c r="GT37" s="43"/>
      <c r="GU37" s="43"/>
      <c r="GV37" s="43"/>
      <c r="GW37" s="43"/>
    </row>
    <row r="38" ht="15.0" customHeight="1">
      <c r="A38" s="44"/>
      <c r="B38" s="142" t="s">
        <v>521</v>
      </c>
      <c r="C38" s="143" t="s">
        <v>511</v>
      </c>
      <c r="D38" s="144"/>
      <c r="E38" s="144"/>
      <c r="F38" s="145"/>
      <c r="G38" s="226">
        <v>0.0</v>
      </c>
      <c r="H38" s="145"/>
      <c r="I38" s="227"/>
      <c r="J38" s="145"/>
      <c r="K38" s="150"/>
      <c r="L38" s="145"/>
      <c r="M38" s="228"/>
      <c r="N38" s="145"/>
      <c r="O38" s="229" t="str">
        <f t="shared" ref="O38:O47" si="14">if(sum(G38:N38)&lt;=0,"無效",Sum(G38:N38))</f>
        <v>無效</v>
      </c>
      <c r="P38" s="145"/>
      <c r="Q38" s="230"/>
      <c r="R38" s="145"/>
      <c r="S38" s="229" t="str">
        <f t="shared" ref="S38:S47" si="15">if(O38="無效","X",(LOOKUP(O38,{1,5,7,9,11,13,15},{0,1,2,3,4,5,6})+Q38))</f>
        <v>X</v>
      </c>
      <c r="T38" s="145"/>
      <c r="U38" s="241"/>
      <c r="V38" s="144"/>
      <c r="W38" s="144"/>
      <c r="X38" s="144"/>
      <c r="Y38" s="144"/>
      <c r="Z38" s="144"/>
      <c r="AA38" s="144"/>
      <c r="AB38" s="144"/>
      <c r="AC38" s="144"/>
      <c r="AD38" s="145"/>
      <c r="AE38" s="129"/>
      <c r="AF38" s="70"/>
      <c r="AG38" s="57"/>
      <c r="AH38" s="58"/>
      <c r="AI38" s="198" t="s">
        <v>523</v>
      </c>
      <c r="AJ38" s="46"/>
      <c r="AK38" s="46"/>
      <c r="AL38" s="46"/>
      <c r="AM38" s="46"/>
      <c r="AN38" s="47"/>
      <c r="AO38" s="198" t="s">
        <v>524</v>
      </c>
      <c r="AP38" s="46"/>
      <c r="AQ38" s="46"/>
      <c r="AR38" s="46"/>
      <c r="AS38" s="46"/>
      <c r="AT38" s="47"/>
      <c r="AU38" s="199" t="s">
        <v>432</v>
      </c>
      <c r="AV38" s="46"/>
      <c r="AW38" s="47"/>
      <c r="AX38" s="91"/>
      <c r="AY38" s="46"/>
      <c r="AZ38" s="47"/>
      <c r="BA38" s="200" t="str">
        <f>iferror(vlookup(AU38,$CZ$155:$DI$186,3,false)+vlookup(AF37,$CZ$155:$DI$186,3,false)+AX38+vlookup(AF37,$CZ$155:$DI$186,9,false)+1,"無效")</f>
        <v>無效</v>
      </c>
      <c r="BB38" s="46"/>
      <c r="BC38" s="47"/>
      <c r="BD38" s="200" t="str">
        <f>iferror(vlookup(AU38,$CZ$155:$DI$186,3,false)+vlookup(AF37,$CZ$155:$DI$186,3,false)+AX38+vlookup(AF37,$CZ$155:$DI$186,9,false),"無效")</f>
        <v>無效</v>
      </c>
      <c r="BE38" s="46"/>
      <c r="BF38" s="47"/>
      <c r="BG38" s="200" t="str">
        <f>iferror(VLOOKUP(AU38,$CZ$155:$DI$186,5,false)+vlookup(AF37,$CZ$155:$DI$186,5,false),"X")</f>
        <v>X</v>
      </c>
      <c r="BH38" s="47"/>
      <c r="BI38" s="94" t="s">
        <v>525</v>
      </c>
      <c r="BJ38" s="46"/>
      <c r="BK38" s="46"/>
      <c r="BL38" s="47"/>
      <c r="BM38" s="208" t="str">
        <f t="shared" ref="BM38:BM39" si="16">sum(BP38:CI38)&amp;"米"</f>
        <v>2米</v>
      </c>
      <c r="BN38" s="46"/>
      <c r="BO38" s="47"/>
      <c r="BP38" s="209">
        <f t="array" ref="BP38">INDEX({4,8,0,2,6,0,2,2},MATCH(BM32,{"超大型","超巨型","超微型","大型","巨型","微型","小型","中型"},0))</f>
        <v>2</v>
      </c>
      <c r="BQ38" s="46"/>
      <c r="BR38" s="47"/>
      <c r="BS38" s="210"/>
      <c r="BT38" s="46"/>
      <c r="BU38" s="47"/>
      <c r="BV38" s="211"/>
      <c r="BW38" s="47"/>
      <c r="BX38" s="212"/>
      <c r="BY38" s="47"/>
      <c r="BZ38" s="211"/>
      <c r="CA38" s="47"/>
      <c r="CB38" s="212"/>
      <c r="CC38" s="47"/>
      <c r="CD38" s="211"/>
      <c r="CE38" s="47"/>
      <c r="CF38" s="212"/>
      <c r="CG38" s="47"/>
      <c r="CH38" s="211"/>
      <c r="CI38" s="47"/>
      <c r="CJ38" s="59"/>
      <c r="DJ38" s="60"/>
      <c r="DK38" s="53"/>
      <c r="DL38" s="43"/>
      <c r="DM38" s="43"/>
      <c r="DN38" s="43"/>
      <c r="DO38" s="43"/>
      <c r="DP38" s="43"/>
      <c r="DQ38" s="43"/>
      <c r="DR38" s="43"/>
      <c r="DS38" s="43"/>
      <c r="DT38" s="43"/>
      <c r="DU38" s="43"/>
      <c r="DV38" s="43"/>
      <c r="DW38" s="43"/>
      <c r="DX38" s="43"/>
      <c r="DY38" s="43"/>
      <c r="DZ38" s="43"/>
      <c r="EA38" s="43"/>
      <c r="EB38" s="43"/>
      <c r="EC38" s="43"/>
      <c r="ED38" s="43"/>
      <c r="EE38" s="43"/>
      <c r="EF38" s="43"/>
      <c r="EG38" s="43"/>
      <c r="EH38" s="43"/>
      <c r="EI38" s="43"/>
      <c r="EJ38" s="43"/>
      <c r="EK38" s="43"/>
      <c r="EL38" s="43"/>
      <c r="EM38" s="43"/>
      <c r="EN38" s="43"/>
      <c r="EO38" s="43"/>
      <c r="EP38" s="43"/>
      <c r="EQ38" s="43"/>
      <c r="ER38" s="43"/>
      <c r="ES38" s="43"/>
      <c r="ET38" s="43"/>
      <c r="EU38" s="43"/>
      <c r="EV38" s="43"/>
      <c r="EW38" s="43"/>
      <c r="EX38" s="43"/>
      <c r="EY38" s="43"/>
      <c r="EZ38" s="43"/>
      <c r="FA38" s="43"/>
      <c r="FB38" s="43"/>
      <c r="FC38" s="43"/>
      <c r="FD38" s="43"/>
      <c r="FE38" s="43"/>
      <c r="FF38" s="43"/>
      <c r="FG38" s="43"/>
      <c r="FH38" s="43"/>
      <c r="FI38" s="128"/>
      <c r="FJ38" s="128"/>
      <c r="FK38" s="128"/>
      <c r="FL38" s="128"/>
      <c r="FM38" s="128"/>
      <c r="FN38" s="128"/>
      <c r="FO38" s="128"/>
      <c r="FP38" s="128"/>
      <c r="FQ38" s="128"/>
      <c r="FR38" s="128"/>
      <c r="FS38" s="128"/>
      <c r="FT38" s="128"/>
      <c r="FU38" s="128"/>
      <c r="FV38" s="128"/>
      <c r="FW38" s="128"/>
      <c r="FX38" s="128"/>
      <c r="FY38" s="128"/>
      <c r="FZ38" s="128"/>
      <c r="GA38" s="128"/>
      <c r="GB38" s="128"/>
      <c r="GC38" s="128"/>
      <c r="GD38" s="128"/>
      <c r="GE38" s="43"/>
      <c r="GF38" s="43"/>
      <c r="GG38" s="43"/>
      <c r="GH38" s="43"/>
      <c r="GI38" s="43"/>
      <c r="GJ38" s="43"/>
      <c r="GK38" s="43"/>
      <c r="GL38" s="43"/>
      <c r="GM38" s="43"/>
      <c r="GN38" s="43"/>
      <c r="GO38" s="43"/>
      <c r="GP38" s="43"/>
      <c r="GQ38" s="43"/>
      <c r="GR38" s="43"/>
      <c r="GS38" s="43"/>
      <c r="GT38" s="43"/>
      <c r="GU38" s="43"/>
      <c r="GV38" s="43"/>
      <c r="GW38" s="43"/>
    </row>
    <row r="39" ht="15.0" customHeight="1">
      <c r="A39" s="44"/>
      <c r="B39" s="129"/>
      <c r="C39" s="119" t="s">
        <v>518</v>
      </c>
      <c r="D39" s="46"/>
      <c r="E39" s="46"/>
      <c r="F39" s="47"/>
      <c r="G39" s="232">
        <v>0.0</v>
      </c>
      <c r="H39" s="47"/>
      <c r="I39" s="193"/>
      <c r="J39" s="47"/>
      <c r="K39" s="130"/>
      <c r="L39" s="47"/>
      <c r="M39" s="205"/>
      <c r="N39" s="47"/>
      <c r="O39" s="195" t="str">
        <f t="shared" si="14"/>
        <v>無效</v>
      </c>
      <c r="P39" s="47"/>
      <c r="Q39" s="155"/>
      <c r="R39" s="47"/>
      <c r="S39" s="195" t="str">
        <f t="shared" si="15"/>
        <v>X</v>
      </c>
      <c r="T39" s="47"/>
      <c r="U39" s="206"/>
      <c r="V39" s="46"/>
      <c r="W39" s="46"/>
      <c r="X39" s="46"/>
      <c r="Y39" s="46"/>
      <c r="Z39" s="46"/>
      <c r="AA39" s="46"/>
      <c r="AB39" s="46"/>
      <c r="AC39" s="46"/>
      <c r="AD39" s="47"/>
      <c r="AE39" s="129"/>
      <c r="AF39" s="218" t="s">
        <v>527</v>
      </c>
      <c r="AG39" s="49"/>
      <c r="AH39" s="50"/>
      <c r="AI39" s="198" t="s">
        <v>528</v>
      </c>
      <c r="AJ39" s="46"/>
      <c r="AK39" s="46"/>
      <c r="AL39" s="46"/>
      <c r="AM39" s="46"/>
      <c r="AN39" s="46"/>
      <c r="AO39" s="46"/>
      <c r="AP39" s="46"/>
      <c r="AQ39" s="46"/>
      <c r="AR39" s="46"/>
      <c r="AS39" s="46"/>
      <c r="AT39" s="47"/>
      <c r="AU39" s="199" t="s">
        <v>432</v>
      </c>
      <c r="AV39" s="46"/>
      <c r="AW39" s="47"/>
      <c r="AX39" s="91"/>
      <c r="AY39" s="46"/>
      <c r="AZ39" s="47"/>
      <c r="BA39" s="200" t="str">
        <f>iferror(vlookup(AU39,$CZ$155:$DI$186,3,false)+vlookup(AF39,$CZ$155:$DI$186,3,false)+vlookup(AF39,$CZ$155:$DI$186,9,false)+AX39+1,"無效")</f>
        <v>無效</v>
      </c>
      <c r="BB39" s="46"/>
      <c r="BC39" s="47"/>
      <c r="BD39" s="200" t="str">
        <f>iferror(vlookup(AU39,$CZ$155:$DI$186,3,false)+vlookup(AF39,$CZ$155:$DI$186,3,false)+AX39+vlookup(AF39,$CZ$155:$DI$186,9,false),"無效")</f>
        <v>無效</v>
      </c>
      <c r="BE39" s="46"/>
      <c r="BF39" s="47"/>
      <c r="BG39" s="200" t="str">
        <f>iferror(VLOOKUP(AU39,$CZ$155:$DI$186,5,false)+vlookup(AF39,$CZ$155:$DI$186,5,false),"X")</f>
        <v>X</v>
      </c>
      <c r="BH39" s="47"/>
      <c r="BI39" s="94" t="s">
        <v>529</v>
      </c>
      <c r="BJ39" s="46"/>
      <c r="BK39" s="46"/>
      <c r="BL39" s="47"/>
      <c r="BM39" s="208" t="str">
        <f t="shared" si="16"/>
        <v>20米</v>
      </c>
      <c r="BN39" s="46"/>
      <c r="BO39" s="47"/>
      <c r="BP39" s="209">
        <f>V22*10</f>
        <v>20</v>
      </c>
      <c r="BQ39" s="46"/>
      <c r="BR39" s="47"/>
      <c r="BS39" s="209">
        <f>20*X22</f>
        <v>0</v>
      </c>
      <c r="BT39" s="46"/>
      <c r="BU39" s="47"/>
      <c r="BV39" s="211"/>
      <c r="BW39" s="47"/>
      <c r="BX39" s="212"/>
      <c r="BY39" s="47"/>
      <c r="BZ39" s="211"/>
      <c r="CA39" s="47"/>
      <c r="CB39" s="212"/>
      <c r="CC39" s="47"/>
      <c r="CD39" s="211"/>
      <c r="CE39" s="47"/>
      <c r="CF39" s="212"/>
      <c r="CG39" s="47"/>
      <c r="CH39" s="211"/>
      <c r="CI39" s="47"/>
      <c r="CJ39" s="59"/>
      <c r="DJ39" s="60"/>
      <c r="DK39" s="53"/>
      <c r="DL39" s="43"/>
      <c r="DM39" s="43"/>
      <c r="DN39" s="43"/>
      <c r="DO39" s="43"/>
      <c r="DP39" s="43"/>
      <c r="DQ39" s="43"/>
      <c r="DR39" s="43"/>
      <c r="DS39" s="43"/>
      <c r="DT39" s="43"/>
      <c r="DU39" s="43"/>
      <c r="DV39" s="43"/>
      <c r="DW39" s="43"/>
      <c r="DX39" s="43"/>
      <c r="DY39" s="43"/>
      <c r="DZ39" s="43"/>
      <c r="EA39" s="43"/>
      <c r="EB39" s="43"/>
      <c r="EC39" s="43"/>
      <c r="ED39" s="43"/>
      <c r="EE39" s="43"/>
      <c r="EF39" s="43"/>
      <c r="EG39" s="43"/>
      <c r="EH39" s="43"/>
      <c r="EI39" s="43"/>
      <c r="EJ39" s="43"/>
      <c r="EK39" s="43"/>
      <c r="EL39" s="43"/>
      <c r="EM39" s="43"/>
      <c r="EN39" s="43"/>
      <c r="EO39" s="43"/>
      <c r="EP39" s="43"/>
      <c r="EQ39" s="43"/>
      <c r="ER39" s="43"/>
      <c r="ES39" s="43"/>
      <c r="ET39" s="43"/>
      <c r="EU39" s="43"/>
      <c r="EV39" s="43"/>
      <c r="EW39" s="43"/>
      <c r="EX39" s="43"/>
      <c r="EY39" s="43"/>
      <c r="EZ39" s="43"/>
      <c r="FA39" s="43"/>
      <c r="FB39" s="43"/>
      <c r="FC39" s="43"/>
      <c r="FD39" s="43"/>
      <c r="FE39" s="43"/>
      <c r="FF39" s="43"/>
      <c r="FG39" s="43"/>
      <c r="FH39" s="43"/>
      <c r="FI39" s="128"/>
      <c r="FJ39" s="128"/>
      <c r="FK39" s="128"/>
      <c r="FL39" s="128"/>
      <c r="FM39" s="128"/>
      <c r="FN39" s="128"/>
      <c r="FO39" s="128"/>
      <c r="FP39" s="128"/>
      <c r="FQ39" s="128"/>
      <c r="FR39" s="128"/>
      <c r="FS39" s="128"/>
      <c r="FT39" s="128"/>
      <c r="FU39" s="128"/>
      <c r="FV39" s="128"/>
      <c r="FW39" s="128"/>
      <c r="FX39" s="128"/>
      <c r="FY39" s="128"/>
      <c r="FZ39" s="128"/>
      <c r="GA39" s="128"/>
      <c r="GB39" s="128"/>
      <c r="GC39" s="128"/>
      <c r="GD39" s="128"/>
      <c r="GE39" s="43"/>
      <c r="GF39" s="43"/>
      <c r="GG39" s="43"/>
      <c r="GH39" s="43"/>
      <c r="GI39" s="43"/>
      <c r="GJ39" s="43"/>
      <c r="GK39" s="43"/>
      <c r="GL39" s="43"/>
      <c r="GM39" s="43"/>
      <c r="GN39" s="43"/>
      <c r="GO39" s="43"/>
      <c r="GP39" s="43"/>
      <c r="GQ39" s="43"/>
      <c r="GR39" s="43"/>
      <c r="GS39" s="43"/>
      <c r="GT39" s="43"/>
      <c r="GU39" s="43"/>
      <c r="GV39" s="43"/>
      <c r="GW39" s="43"/>
    </row>
    <row r="40" ht="15.0" customHeight="1">
      <c r="A40" s="44"/>
      <c r="B40" s="129"/>
      <c r="C40" s="233" t="s">
        <v>530</v>
      </c>
      <c r="D40" s="234"/>
      <c r="E40" s="46"/>
      <c r="F40" s="47"/>
      <c r="G40" s="232">
        <v>0.0</v>
      </c>
      <c r="H40" s="47"/>
      <c r="I40" s="193"/>
      <c r="J40" s="47"/>
      <c r="K40" s="130"/>
      <c r="L40" s="47"/>
      <c r="M40" s="205"/>
      <c r="N40" s="47"/>
      <c r="O40" s="195" t="str">
        <f t="shared" si="14"/>
        <v>無效</v>
      </c>
      <c r="P40" s="47"/>
      <c r="Q40" s="155"/>
      <c r="R40" s="47"/>
      <c r="S40" s="195" t="str">
        <f t="shared" si="15"/>
        <v>X</v>
      </c>
      <c r="T40" s="47"/>
      <c r="U40" s="196"/>
      <c r="V40" s="46"/>
      <c r="W40" s="46"/>
      <c r="X40" s="46"/>
      <c r="Y40" s="46"/>
      <c r="Z40" s="46"/>
      <c r="AA40" s="46"/>
      <c r="AB40" s="46"/>
      <c r="AC40" s="46"/>
      <c r="AD40" s="47"/>
      <c r="AE40" s="129"/>
      <c r="AF40" s="70"/>
      <c r="AG40" s="57"/>
      <c r="AH40" s="58"/>
      <c r="AI40" s="198" t="s">
        <v>531</v>
      </c>
      <c r="AJ40" s="46"/>
      <c r="AK40" s="46"/>
      <c r="AL40" s="47"/>
      <c r="AM40" s="198" t="s">
        <v>532</v>
      </c>
      <c r="AN40" s="46"/>
      <c r="AO40" s="46"/>
      <c r="AP40" s="47"/>
      <c r="AQ40" s="198" t="s">
        <v>533</v>
      </c>
      <c r="AR40" s="46"/>
      <c r="AS40" s="46"/>
      <c r="AT40" s="47"/>
      <c r="AU40" s="199" t="s">
        <v>436</v>
      </c>
      <c r="AV40" s="46"/>
      <c r="AW40" s="47"/>
      <c r="AX40" s="91"/>
      <c r="AY40" s="46"/>
      <c r="AZ40" s="47"/>
      <c r="BA40" s="200" t="str">
        <f>iferror(vlookup(AU40,$CZ$155:$DI$186,3,false)+vlookup(AF39,$CZ$155:$DI$186,3,false)+AX40+vlookup(AF39,$CZ$155:$DI$186,9,false)+1,"無效")</f>
        <v>無效</v>
      </c>
      <c r="BB40" s="46"/>
      <c r="BC40" s="47"/>
      <c r="BD40" s="200" t="str">
        <f>iferror(vlookup(AU40,$CZ$155:$DI$186,3,false)+vlookup(AF39,$CZ$155:$DI$186,3,false)+AX40+vlookup(AF39,$CZ$155:$DI$186,9,false),"無效")</f>
        <v>無效</v>
      </c>
      <c r="BE40" s="46"/>
      <c r="BF40" s="47"/>
      <c r="BG40" s="200" t="str">
        <f>iferror(VLOOKUP(AU40,$CZ$155:$DI$186,5,false)+vlookup(AF39,$CZ$155:$DI$186,5,false),"X")</f>
        <v>X</v>
      </c>
      <c r="BH40" s="47"/>
      <c r="BI40" s="207" t="s">
        <v>534</v>
      </c>
      <c r="BJ40" s="46"/>
      <c r="BK40" s="46"/>
      <c r="BL40" s="47"/>
      <c r="BM40" s="208">
        <f>SUM(BP40:CI40)</f>
        <v>4</v>
      </c>
      <c r="BN40" s="46"/>
      <c r="BO40" s="47"/>
      <c r="BP40" s="209">
        <f>V23+V26</f>
        <v>4</v>
      </c>
      <c r="BQ40" s="46"/>
      <c r="BR40" s="47"/>
      <c r="BS40" s="209">
        <f>X23*3+X26*3</f>
        <v>0</v>
      </c>
      <c r="BT40" s="46"/>
      <c r="BU40" s="47"/>
      <c r="BV40" s="211"/>
      <c r="BW40" s="47"/>
      <c r="BX40" s="212"/>
      <c r="BY40" s="47"/>
      <c r="BZ40" s="211"/>
      <c r="CA40" s="47"/>
      <c r="CB40" s="212"/>
      <c r="CC40" s="47"/>
      <c r="CD40" s="211"/>
      <c r="CE40" s="47"/>
      <c r="CF40" s="212"/>
      <c r="CG40" s="47"/>
      <c r="CH40" s="211"/>
      <c r="CI40" s="47"/>
      <c r="CJ40" s="59"/>
      <c r="DJ40" s="60"/>
      <c r="DK40" s="53"/>
      <c r="DL40" s="43"/>
      <c r="DM40" s="43"/>
      <c r="DN40" s="43"/>
      <c r="DO40" s="43"/>
      <c r="DP40" s="43"/>
      <c r="DQ40" s="43"/>
      <c r="DR40" s="43"/>
      <c r="DS40" s="43"/>
      <c r="DT40" s="43"/>
      <c r="DU40" s="43"/>
      <c r="DV40" s="43"/>
      <c r="DW40" s="43"/>
      <c r="DX40" s="43"/>
      <c r="DY40" s="43"/>
      <c r="DZ40" s="43"/>
      <c r="EA40" s="43"/>
      <c r="EB40" s="43"/>
      <c r="EC40" s="43"/>
      <c r="ED40" s="43"/>
      <c r="EE40" s="43"/>
      <c r="EF40" s="43"/>
      <c r="EG40" s="43"/>
      <c r="EH40" s="43"/>
      <c r="EI40" s="43"/>
      <c r="EJ40" s="43"/>
      <c r="EK40" s="43"/>
      <c r="EL40" s="43"/>
      <c r="EM40" s="43"/>
      <c r="EN40" s="43"/>
      <c r="EO40" s="43"/>
      <c r="EP40" s="43"/>
      <c r="EQ40" s="43"/>
      <c r="ER40" s="43"/>
      <c r="ES40" s="43"/>
      <c r="ET40" s="43"/>
      <c r="EU40" s="43"/>
      <c r="EV40" s="43"/>
      <c r="EW40" s="43"/>
      <c r="EX40" s="43"/>
      <c r="EY40" s="43"/>
      <c r="EZ40" s="43"/>
      <c r="FA40" s="43"/>
      <c r="FB40" s="43"/>
      <c r="FC40" s="43"/>
      <c r="FD40" s="43"/>
      <c r="FE40" s="43"/>
      <c r="FF40" s="43"/>
      <c r="FG40" s="43"/>
      <c r="FH40" s="43"/>
      <c r="FI40" s="128"/>
      <c r="FJ40" s="128"/>
      <c r="FK40" s="128"/>
      <c r="FL40" s="128"/>
      <c r="FM40" s="128"/>
      <c r="FN40" s="128"/>
      <c r="FO40" s="128"/>
      <c r="FP40" s="128"/>
      <c r="FQ40" s="128"/>
      <c r="FR40" s="128"/>
      <c r="FS40" s="128"/>
      <c r="FT40" s="128"/>
      <c r="FU40" s="128"/>
      <c r="FV40" s="128"/>
      <c r="FW40" s="128"/>
      <c r="FX40" s="128"/>
      <c r="FY40" s="128"/>
      <c r="FZ40" s="128"/>
      <c r="GA40" s="128"/>
      <c r="GB40" s="128"/>
      <c r="GC40" s="128"/>
      <c r="GD40" s="128"/>
      <c r="GE40" s="43"/>
      <c r="GF40" s="43"/>
      <c r="GG40" s="43"/>
      <c r="GH40" s="43"/>
      <c r="GI40" s="43"/>
      <c r="GJ40" s="43"/>
      <c r="GK40" s="43"/>
      <c r="GL40" s="43"/>
      <c r="GM40" s="43"/>
      <c r="GN40" s="43"/>
      <c r="GO40" s="43"/>
      <c r="GP40" s="43"/>
      <c r="GQ40" s="43"/>
      <c r="GR40" s="43"/>
      <c r="GS40" s="43"/>
      <c r="GT40" s="43"/>
      <c r="GU40" s="43"/>
      <c r="GV40" s="43"/>
      <c r="GW40" s="43"/>
    </row>
    <row r="41" ht="15.0" customHeight="1">
      <c r="A41" s="44"/>
      <c r="B41" s="129"/>
      <c r="C41" s="129"/>
      <c r="D41" s="234"/>
      <c r="E41" s="46"/>
      <c r="F41" s="47"/>
      <c r="G41" s="232">
        <v>0.0</v>
      </c>
      <c r="H41" s="47"/>
      <c r="I41" s="193"/>
      <c r="J41" s="47"/>
      <c r="K41" s="124"/>
      <c r="L41" s="47"/>
      <c r="M41" s="205"/>
      <c r="N41" s="47"/>
      <c r="O41" s="195" t="str">
        <f t="shared" si="14"/>
        <v>無效</v>
      </c>
      <c r="P41" s="47"/>
      <c r="Q41" s="155"/>
      <c r="R41" s="47"/>
      <c r="S41" s="195" t="str">
        <f t="shared" si="15"/>
        <v>X</v>
      </c>
      <c r="T41" s="47"/>
      <c r="U41" s="206"/>
      <c r="V41" s="46"/>
      <c r="W41" s="46"/>
      <c r="X41" s="46"/>
      <c r="Y41" s="46"/>
      <c r="Z41" s="46"/>
      <c r="AA41" s="46"/>
      <c r="AB41" s="46"/>
      <c r="AC41" s="46"/>
      <c r="AD41" s="47"/>
      <c r="AE41" s="129"/>
      <c r="AF41" s="218" t="s">
        <v>535</v>
      </c>
      <c r="AG41" s="49"/>
      <c r="AH41" s="50"/>
      <c r="AI41" s="198" t="s">
        <v>536</v>
      </c>
      <c r="AJ41" s="46"/>
      <c r="AK41" s="46"/>
      <c r="AL41" s="46"/>
      <c r="AM41" s="46"/>
      <c r="AN41" s="46"/>
      <c r="AO41" s="46"/>
      <c r="AP41" s="46"/>
      <c r="AQ41" s="46"/>
      <c r="AR41" s="46"/>
      <c r="AS41" s="46"/>
      <c r="AT41" s="47"/>
      <c r="AU41" s="199" t="s">
        <v>424</v>
      </c>
      <c r="AV41" s="46"/>
      <c r="AW41" s="47"/>
      <c r="AX41" s="91"/>
      <c r="AY41" s="46"/>
      <c r="AZ41" s="47"/>
      <c r="BA41" s="200" t="str">
        <f>iferror(vlookup(AU41,$CZ$155:$DI$186,3,false)+vlookup(AF41,$CZ$155:$DI$186,3,false)+AX41+vlookup(AF41,$CZ$155:$DI$186,9,false)+1,"無效")</f>
        <v>無效</v>
      </c>
      <c r="BB41" s="46"/>
      <c r="BC41" s="47"/>
      <c r="BD41" s="200" t="str">
        <f>iferror(vlookup(AU41,$CZ$155:$DI$186,3,false)+vlookup(AF41,$CZ$155:$DI$186,3,false)+AX41+vlookup(AF41,$CZ$155:$DI$186,9,false),"無效")</f>
        <v>無效</v>
      </c>
      <c r="BE41" s="46"/>
      <c r="BF41" s="47"/>
      <c r="BG41" s="200" t="str">
        <f>iferror(VLOOKUP(AU41,$CZ$155:$DI$186,5,false)+vlookup(AF41,$CZ$155:$DI$186,5,false),"X")</f>
        <v>X</v>
      </c>
      <c r="BH41" s="47"/>
      <c r="BI41" s="235" t="s">
        <v>467</v>
      </c>
      <c r="BJ41" s="49"/>
      <c r="BK41" s="49"/>
      <c r="BL41" s="50"/>
      <c r="BM41" s="236" t="s">
        <v>537</v>
      </c>
      <c r="BN41" s="49"/>
      <c r="BO41" s="50"/>
      <c r="BP41" s="237" t="s">
        <v>469</v>
      </c>
      <c r="BQ41" s="50"/>
      <c r="BR41" s="187" t="s">
        <v>401</v>
      </c>
      <c r="BS41" s="46"/>
      <c r="BT41" s="46"/>
      <c r="BU41" s="47"/>
      <c r="BV41" s="187" t="s">
        <v>470</v>
      </c>
      <c r="BW41" s="46"/>
      <c r="BX41" s="46"/>
      <c r="BY41" s="46"/>
      <c r="BZ41" s="46"/>
      <c r="CA41" s="46"/>
      <c r="CB41" s="46"/>
      <c r="CC41" s="46"/>
      <c r="CD41" s="46"/>
      <c r="CE41" s="46"/>
      <c r="CF41" s="46"/>
      <c r="CG41" s="46"/>
      <c r="CH41" s="46"/>
      <c r="CI41" s="47"/>
      <c r="CJ41" s="59"/>
      <c r="DJ41" s="60"/>
      <c r="DK41" s="53"/>
      <c r="DL41" s="43"/>
      <c r="DM41" s="43"/>
      <c r="DN41" s="43"/>
      <c r="DO41" s="43"/>
      <c r="DP41" s="43"/>
      <c r="DQ41" s="43"/>
      <c r="DR41" s="43"/>
      <c r="DS41" s="43"/>
      <c r="DT41" s="43"/>
      <c r="DU41" s="43"/>
      <c r="DV41" s="43"/>
      <c r="DW41" s="43"/>
      <c r="DX41" s="43"/>
      <c r="DY41" s="43"/>
      <c r="DZ41" s="43"/>
      <c r="EA41" s="43"/>
      <c r="EB41" s="43"/>
      <c r="EC41" s="43"/>
      <c r="ED41" s="43"/>
      <c r="EE41" s="43"/>
      <c r="EF41" s="43"/>
      <c r="EG41" s="43"/>
      <c r="EH41" s="43"/>
      <c r="EI41" s="43"/>
      <c r="EJ41" s="43"/>
      <c r="EK41" s="43"/>
      <c r="EL41" s="43"/>
      <c r="EM41" s="43"/>
      <c r="EN41" s="43"/>
      <c r="EO41" s="43"/>
      <c r="EP41" s="43"/>
      <c r="EQ41" s="43"/>
      <c r="ER41" s="43"/>
      <c r="ES41" s="43"/>
      <c r="ET41" s="43"/>
      <c r="EU41" s="43"/>
      <c r="EV41" s="43"/>
      <c r="EW41" s="43"/>
      <c r="EX41" s="43"/>
      <c r="EY41" s="43"/>
      <c r="EZ41" s="43"/>
      <c r="FA41" s="43"/>
      <c r="FB41" s="43"/>
      <c r="FC41" s="43"/>
      <c r="FD41" s="43"/>
      <c r="FE41" s="43"/>
      <c r="FF41" s="43"/>
      <c r="FG41" s="43"/>
      <c r="FH41" s="43"/>
      <c r="FI41" s="128"/>
      <c r="FJ41" s="128"/>
      <c r="FK41" s="128"/>
      <c r="FL41" s="128"/>
      <c r="FM41" s="128"/>
      <c r="FN41" s="128"/>
      <c r="FO41" s="128"/>
      <c r="FP41" s="128"/>
      <c r="FQ41" s="128"/>
      <c r="FR41" s="128"/>
      <c r="FS41" s="128"/>
      <c r="FT41" s="128"/>
      <c r="FU41" s="128"/>
      <c r="FV41" s="128"/>
      <c r="FW41" s="128"/>
      <c r="FX41" s="128"/>
      <c r="FY41" s="128"/>
      <c r="FZ41" s="128"/>
      <c r="GA41" s="128"/>
      <c r="GB41" s="128"/>
      <c r="GC41" s="128"/>
      <c r="GD41" s="128"/>
      <c r="GE41" s="43"/>
      <c r="GF41" s="43"/>
      <c r="GG41" s="43"/>
      <c r="GH41" s="43"/>
      <c r="GI41" s="43"/>
      <c r="GJ41" s="43"/>
      <c r="GK41" s="43"/>
      <c r="GL41" s="43"/>
      <c r="GM41" s="43"/>
      <c r="GN41" s="43"/>
      <c r="GO41" s="43"/>
      <c r="GP41" s="43"/>
      <c r="GQ41" s="43"/>
      <c r="GR41" s="43"/>
      <c r="GS41" s="43"/>
      <c r="GT41" s="43"/>
      <c r="GU41" s="43"/>
      <c r="GV41" s="43"/>
      <c r="GW41" s="43"/>
    </row>
    <row r="42" ht="15.0" customHeight="1">
      <c r="A42" s="44"/>
      <c r="B42" s="129"/>
      <c r="C42" s="129"/>
      <c r="D42" s="234"/>
      <c r="E42" s="46"/>
      <c r="F42" s="47"/>
      <c r="G42" s="232">
        <v>0.0</v>
      </c>
      <c r="H42" s="47"/>
      <c r="I42" s="193"/>
      <c r="J42" s="47"/>
      <c r="K42" s="124"/>
      <c r="L42" s="47"/>
      <c r="M42" s="205"/>
      <c r="N42" s="47"/>
      <c r="O42" s="195" t="str">
        <f t="shared" si="14"/>
        <v>無效</v>
      </c>
      <c r="P42" s="47"/>
      <c r="Q42" s="155"/>
      <c r="R42" s="47"/>
      <c r="S42" s="195" t="str">
        <f t="shared" si="15"/>
        <v>X</v>
      </c>
      <c r="T42" s="47"/>
      <c r="U42" s="206"/>
      <c r="V42" s="46"/>
      <c r="W42" s="46"/>
      <c r="X42" s="46"/>
      <c r="Y42" s="46"/>
      <c r="Z42" s="46"/>
      <c r="AA42" s="46"/>
      <c r="AB42" s="46"/>
      <c r="AC42" s="46"/>
      <c r="AD42" s="47"/>
      <c r="AE42" s="129"/>
      <c r="AF42" s="70"/>
      <c r="AG42" s="57"/>
      <c r="AH42" s="58"/>
      <c r="AI42" s="198" t="s">
        <v>538</v>
      </c>
      <c r="AJ42" s="46"/>
      <c r="AK42" s="47"/>
      <c r="AL42" s="239" t="s">
        <v>539</v>
      </c>
      <c r="AM42" s="46"/>
      <c r="AN42" s="47"/>
      <c r="AO42" s="198" t="s">
        <v>540</v>
      </c>
      <c r="AP42" s="46"/>
      <c r="AQ42" s="47"/>
      <c r="AR42" s="198" t="s">
        <v>541</v>
      </c>
      <c r="AS42" s="46"/>
      <c r="AT42" s="47"/>
      <c r="AU42" s="199" t="s">
        <v>432</v>
      </c>
      <c r="AV42" s="46"/>
      <c r="AW42" s="47"/>
      <c r="AX42" s="91"/>
      <c r="AY42" s="46"/>
      <c r="AZ42" s="47"/>
      <c r="BA42" s="200" t="str">
        <f>iferror(vlookup(AU42,$CZ$155:$DI$186,3,false)+vlookup(AF41,$CZ$155:$DI$186,3,false)+AX42+vlookup(AF41,$CZ$155:$DI$186,9,false)+1,"無效")</f>
        <v>無效</v>
      </c>
      <c r="BB42" s="46"/>
      <c r="BC42" s="47"/>
      <c r="BD42" s="200" t="str">
        <f>iferror(vlookup(AU42,$CZ$155:$DI$186,3,false)+vlookup(AF41,$CZ$155:$DI$186,3,false)+AX42+vlookup(AF41,$CZ$155:$DI$186,9,false),"無效")</f>
        <v>無效</v>
      </c>
      <c r="BE42" s="46"/>
      <c r="BF42" s="47"/>
      <c r="BG42" s="200" t="str">
        <f>iferror(VLOOKUP(AU42,$CZ$155:$DI$186,5,false)+vlookup(AF41,$CZ$155:$DI$186,5,false),"X")</f>
        <v>X</v>
      </c>
      <c r="BH42" s="47"/>
      <c r="BI42" s="70"/>
      <c r="BJ42" s="57"/>
      <c r="BK42" s="57"/>
      <c r="BL42" s="58"/>
      <c r="BM42" s="70"/>
      <c r="BN42" s="57"/>
      <c r="BO42" s="58"/>
      <c r="BP42" s="70"/>
      <c r="BQ42" s="58"/>
      <c r="BR42" s="203" t="s">
        <v>413</v>
      </c>
      <c r="BS42" s="47"/>
      <c r="BT42" s="203" t="s">
        <v>415</v>
      </c>
      <c r="BU42" s="47"/>
      <c r="BV42" s="202" t="s">
        <v>402</v>
      </c>
      <c r="BW42" s="47"/>
      <c r="BX42" s="202" t="s">
        <v>407</v>
      </c>
      <c r="BY42" s="47"/>
      <c r="BZ42" s="202" t="s">
        <v>408</v>
      </c>
      <c r="CA42" s="47"/>
      <c r="CB42" s="202" t="s">
        <v>410</v>
      </c>
      <c r="CC42" s="47"/>
      <c r="CD42" s="203" t="s">
        <v>409</v>
      </c>
      <c r="CE42" s="47"/>
      <c r="CF42" s="202" t="s">
        <v>411</v>
      </c>
      <c r="CG42" s="47"/>
      <c r="CH42" s="202" t="s">
        <v>412</v>
      </c>
      <c r="CI42" s="47"/>
      <c r="CJ42" s="59"/>
      <c r="DJ42" s="60"/>
      <c r="DK42" s="53"/>
      <c r="DL42" s="43"/>
      <c r="DM42" s="43"/>
      <c r="DN42" s="43"/>
      <c r="DO42" s="240" t="s">
        <v>543</v>
      </c>
      <c r="DW42" s="240" t="s">
        <v>544</v>
      </c>
      <c r="DZ42" s="240" t="s">
        <v>466</v>
      </c>
      <c r="EC42" s="240" t="s">
        <v>545</v>
      </c>
      <c r="EF42" s="240" t="s">
        <v>546</v>
      </c>
      <c r="EI42" s="240" t="s">
        <v>547</v>
      </c>
      <c r="EL42" s="240" t="s">
        <v>548</v>
      </c>
      <c r="EO42" s="43"/>
      <c r="EP42" s="43"/>
      <c r="EQ42" s="43"/>
      <c r="ER42" s="43"/>
      <c r="ES42" s="43"/>
      <c r="ET42" s="43"/>
      <c r="EU42" s="43"/>
      <c r="EV42" s="43"/>
      <c r="EW42" s="43"/>
      <c r="EX42" s="43"/>
      <c r="EY42" s="43"/>
      <c r="EZ42" s="43"/>
      <c r="FA42" s="43"/>
      <c r="FB42" s="43"/>
      <c r="FC42" s="43"/>
      <c r="FD42" s="43"/>
      <c r="FE42" s="43"/>
      <c r="FF42" s="43"/>
      <c r="FG42" s="43"/>
      <c r="FH42" s="43"/>
      <c r="FI42" s="128"/>
      <c r="FJ42" s="128"/>
      <c r="FK42" s="128"/>
      <c r="FL42" s="128"/>
      <c r="FM42" s="128"/>
      <c r="FN42" s="128"/>
      <c r="FO42" s="128"/>
      <c r="FP42" s="128"/>
      <c r="FQ42" s="128"/>
      <c r="FR42" s="128"/>
      <c r="FS42" s="128"/>
      <c r="FT42" s="128"/>
      <c r="FU42" s="128"/>
      <c r="FV42" s="128"/>
      <c r="FW42" s="128"/>
      <c r="FX42" s="128"/>
      <c r="FY42" s="128"/>
      <c r="FZ42" s="128"/>
      <c r="GA42" s="128"/>
      <c r="GB42" s="128"/>
      <c r="GC42" s="128"/>
      <c r="GD42" s="128"/>
      <c r="GE42" s="43"/>
      <c r="GF42" s="43"/>
      <c r="GG42" s="43"/>
      <c r="GH42" s="43"/>
      <c r="GI42" s="43"/>
      <c r="GJ42" s="43"/>
      <c r="GK42" s="43"/>
      <c r="GL42" s="43"/>
      <c r="GM42" s="43"/>
      <c r="GN42" s="43"/>
      <c r="GO42" s="43"/>
      <c r="GP42" s="43"/>
      <c r="GQ42" s="43"/>
      <c r="GR42" s="43"/>
      <c r="GS42" s="43"/>
      <c r="GT42" s="43"/>
      <c r="GU42" s="43"/>
      <c r="GV42" s="43"/>
      <c r="GW42" s="43"/>
    </row>
    <row r="43" ht="15.0" customHeight="1">
      <c r="A43" s="44"/>
      <c r="B43" s="129"/>
      <c r="C43" s="132"/>
      <c r="D43" s="234" t="s">
        <v>570</v>
      </c>
      <c r="E43" s="46"/>
      <c r="F43" s="47"/>
      <c r="G43" s="192">
        <v>0.0</v>
      </c>
      <c r="H43" s="47"/>
      <c r="I43" s="193"/>
      <c r="J43" s="47"/>
      <c r="K43" s="130"/>
      <c r="L43" s="47"/>
      <c r="M43" s="205"/>
      <c r="N43" s="47"/>
      <c r="O43" s="195" t="str">
        <f t="shared" si="14"/>
        <v>無效</v>
      </c>
      <c r="P43" s="47"/>
      <c r="Q43" s="155"/>
      <c r="R43" s="47"/>
      <c r="S43" s="195" t="str">
        <f t="shared" si="15"/>
        <v>X</v>
      </c>
      <c r="T43" s="47"/>
      <c r="U43" s="206"/>
      <c r="V43" s="46"/>
      <c r="W43" s="46"/>
      <c r="X43" s="46"/>
      <c r="Y43" s="46"/>
      <c r="Z43" s="46"/>
      <c r="AA43" s="46"/>
      <c r="AB43" s="46"/>
      <c r="AC43" s="46"/>
      <c r="AD43" s="47"/>
      <c r="AE43" s="129"/>
      <c r="AF43" s="217" t="s">
        <v>549</v>
      </c>
      <c r="AG43" s="46"/>
      <c r="AH43" s="47"/>
      <c r="AI43" s="198" t="s">
        <v>550</v>
      </c>
      <c r="AJ43" s="46"/>
      <c r="AK43" s="46"/>
      <c r="AL43" s="47"/>
      <c r="AM43" s="198" t="s">
        <v>551</v>
      </c>
      <c r="AN43" s="46"/>
      <c r="AO43" s="46"/>
      <c r="AP43" s="47"/>
      <c r="AQ43" s="198" t="s">
        <v>552</v>
      </c>
      <c r="AR43" s="46"/>
      <c r="AS43" s="46"/>
      <c r="AT43" s="47"/>
      <c r="AU43" s="199" t="s">
        <v>432</v>
      </c>
      <c r="AV43" s="46"/>
      <c r="AW43" s="47"/>
      <c r="AX43" s="91"/>
      <c r="AY43" s="46"/>
      <c r="AZ43" s="47"/>
      <c r="BA43" s="200" t="str">
        <f t="shared" ref="BA43:BA44" si="17">iferror(vlookup(AU43,$CZ$155:$DI$186,3,false)+vlookup(AF43,$CZ$155:$DI$186,3,false)+AX43+vlookup(AF43,$CZ$155:$DI$186,9,false)+1,"無效")</f>
        <v>無效</v>
      </c>
      <c r="BB43" s="46"/>
      <c r="BC43" s="47"/>
      <c r="BD43" s="200" t="str">
        <f t="shared" ref="BD43:BD44" si="18">iferror(vlookup(AU43,$CZ$155:$DI$186,3,false)+vlookup(AF43,$CZ$155:$DI$186,3,false)+AX43+vlookup(AF43,$CZ$155:$DI$186,9,false),"無效")</f>
        <v>無效</v>
      </c>
      <c r="BE43" s="46"/>
      <c r="BF43" s="47"/>
      <c r="BG43" s="200" t="str">
        <f t="shared" ref="BG43:BG44" si="19">iferror(VLOOKUP(AU43,$CZ$155:$DI$186,5,false)+vlookup(AF43,$CZ$155:$DI$186,5,false),"X")</f>
        <v>X</v>
      </c>
      <c r="BH43" s="47"/>
      <c r="BI43" s="90" t="s">
        <v>553</v>
      </c>
      <c r="BJ43" s="46"/>
      <c r="BK43" s="46"/>
      <c r="BL43" s="47"/>
      <c r="BM43" s="200">
        <f t="shared" ref="BM43:BM46" si="20">BP43+SUM(BV43:CI43)</f>
        <v>2</v>
      </c>
      <c r="BN43" s="46"/>
      <c r="BO43" s="47"/>
      <c r="BP43" s="242">
        <f>V23+O49+X23*3</f>
        <v>2</v>
      </c>
      <c r="BQ43" s="47"/>
      <c r="BR43" s="200">
        <f>AD23+BT43+if(S49&lt;=0,0,S49)</f>
        <v>0</v>
      </c>
      <c r="BS43" s="47"/>
      <c r="BT43" s="91"/>
      <c r="BU43" s="47"/>
      <c r="BV43" s="211"/>
      <c r="BW43" s="47"/>
      <c r="BX43" s="212"/>
      <c r="BY43" s="47"/>
      <c r="BZ43" s="211"/>
      <c r="CA43" s="47"/>
      <c r="CB43" s="212"/>
      <c r="CC43" s="47"/>
      <c r="CD43" s="211"/>
      <c r="CE43" s="47"/>
      <c r="CF43" s="212"/>
      <c r="CG43" s="47"/>
      <c r="CH43" s="211"/>
      <c r="CI43" s="47"/>
      <c r="CJ43" s="59"/>
      <c r="DJ43" s="60"/>
      <c r="DK43" s="53"/>
      <c r="DL43" s="43"/>
      <c r="DM43" s="43"/>
      <c r="DN43" s="43"/>
      <c r="DO43" s="240" t="s">
        <v>6</v>
      </c>
      <c r="DW43" s="43"/>
      <c r="DZ43" s="43"/>
      <c r="EC43" s="43"/>
      <c r="EF43" s="43"/>
      <c r="EI43" s="43"/>
      <c r="EL43" s="43"/>
      <c r="EO43" s="43"/>
      <c r="EP43" s="43"/>
      <c r="EQ43" s="43"/>
      <c r="ER43" s="43"/>
      <c r="ES43" s="43"/>
      <c r="ET43" s="43"/>
      <c r="EU43" s="43"/>
      <c r="EV43" s="43"/>
      <c r="EW43" s="43"/>
      <c r="EX43" s="43"/>
      <c r="EY43" s="43"/>
      <c r="EZ43" s="43"/>
      <c r="FA43" s="43"/>
      <c r="FB43" s="43"/>
      <c r="FC43" s="43"/>
      <c r="FD43" s="43"/>
      <c r="FE43" s="43"/>
      <c r="FF43" s="43"/>
      <c r="FG43" s="43"/>
      <c r="FH43" s="43"/>
      <c r="FI43" s="128"/>
      <c r="FJ43" s="128"/>
      <c r="FK43" s="128"/>
      <c r="FL43" s="128"/>
      <c r="FM43" s="128"/>
      <c r="FN43" s="128"/>
      <c r="FO43" s="128"/>
      <c r="FP43" s="128"/>
      <c r="FQ43" s="128"/>
      <c r="FR43" s="128"/>
      <c r="FS43" s="128"/>
      <c r="FT43" s="128"/>
      <c r="FU43" s="128"/>
      <c r="FV43" s="128"/>
      <c r="FW43" s="128"/>
      <c r="FX43" s="128"/>
      <c r="FY43" s="128"/>
      <c r="FZ43" s="128"/>
      <c r="GA43" s="128"/>
      <c r="GB43" s="128"/>
      <c r="GC43" s="128"/>
      <c r="GD43" s="128"/>
      <c r="GE43" s="43"/>
      <c r="GF43" s="43"/>
      <c r="GG43" s="43"/>
      <c r="GH43" s="43"/>
      <c r="GI43" s="43"/>
      <c r="GJ43" s="43"/>
      <c r="GK43" s="43"/>
      <c r="GL43" s="43"/>
      <c r="GM43" s="43"/>
      <c r="GN43" s="43"/>
      <c r="GO43" s="43"/>
      <c r="GP43" s="43"/>
      <c r="GQ43" s="43"/>
      <c r="GR43" s="43"/>
      <c r="GS43" s="43"/>
      <c r="GT43" s="43"/>
      <c r="GU43" s="43"/>
      <c r="GV43" s="43"/>
      <c r="GW43" s="43"/>
    </row>
    <row r="44" ht="15.0" customHeight="1">
      <c r="A44" s="44"/>
      <c r="B44" s="129"/>
      <c r="C44" s="119" t="s">
        <v>527</v>
      </c>
      <c r="D44" s="46"/>
      <c r="E44" s="46"/>
      <c r="F44" s="47"/>
      <c r="G44" s="192">
        <v>0.0</v>
      </c>
      <c r="H44" s="47"/>
      <c r="I44" s="193"/>
      <c r="J44" s="47"/>
      <c r="K44" s="130"/>
      <c r="L44" s="47"/>
      <c r="M44" s="205"/>
      <c r="N44" s="47"/>
      <c r="O44" s="195" t="str">
        <f t="shared" si="14"/>
        <v>無效</v>
      </c>
      <c r="P44" s="47"/>
      <c r="Q44" s="155"/>
      <c r="R44" s="47"/>
      <c r="S44" s="195" t="str">
        <f t="shared" si="15"/>
        <v>X</v>
      </c>
      <c r="T44" s="47"/>
      <c r="U44" s="196"/>
      <c r="V44" s="46"/>
      <c r="W44" s="46"/>
      <c r="X44" s="46"/>
      <c r="Y44" s="46"/>
      <c r="Z44" s="46"/>
      <c r="AA44" s="46"/>
      <c r="AB44" s="46"/>
      <c r="AC44" s="46"/>
      <c r="AD44" s="47"/>
      <c r="AE44" s="132"/>
      <c r="AF44" s="217" t="s">
        <v>554</v>
      </c>
      <c r="AG44" s="46"/>
      <c r="AH44" s="47"/>
      <c r="AI44" s="198" t="s">
        <v>514</v>
      </c>
      <c r="AJ44" s="46"/>
      <c r="AK44" s="46"/>
      <c r="AL44" s="46"/>
      <c r="AM44" s="46"/>
      <c r="AN44" s="47"/>
      <c r="AO44" s="198" t="s">
        <v>555</v>
      </c>
      <c r="AP44" s="46"/>
      <c r="AQ44" s="46"/>
      <c r="AR44" s="46"/>
      <c r="AS44" s="46"/>
      <c r="AT44" s="47"/>
      <c r="AU44" s="199" t="s">
        <v>432</v>
      </c>
      <c r="AV44" s="46"/>
      <c r="AW44" s="47"/>
      <c r="AX44" s="90"/>
      <c r="AY44" s="46"/>
      <c r="AZ44" s="47"/>
      <c r="BA44" s="200" t="str">
        <f t="shared" si="17"/>
        <v>無效</v>
      </c>
      <c r="BB44" s="46"/>
      <c r="BC44" s="47"/>
      <c r="BD44" s="200" t="str">
        <f t="shared" si="18"/>
        <v>無效</v>
      </c>
      <c r="BE44" s="46"/>
      <c r="BF44" s="47"/>
      <c r="BG44" s="200" t="str">
        <f t="shared" si="19"/>
        <v>X</v>
      </c>
      <c r="BH44" s="47"/>
      <c r="BI44" s="90" t="s">
        <v>556</v>
      </c>
      <c r="BJ44" s="46"/>
      <c r="BK44" s="46"/>
      <c r="BL44" s="47"/>
      <c r="BM44" s="200">
        <f t="shared" si="20"/>
        <v>2</v>
      </c>
      <c r="BN44" s="46"/>
      <c r="BO44" s="47"/>
      <c r="BP44" s="242">
        <f>V19+O30+X19*3</f>
        <v>2</v>
      </c>
      <c r="BQ44" s="47"/>
      <c r="BR44" s="200">
        <f>AD19+BT44+if(S30&lt;=0,0,S30)</f>
        <v>0</v>
      </c>
      <c r="BS44" s="47"/>
      <c r="BT44" s="91"/>
      <c r="BU44" s="47"/>
      <c r="BV44" s="211"/>
      <c r="BW44" s="47"/>
      <c r="BX44" s="212"/>
      <c r="BY44" s="47"/>
      <c r="BZ44" s="211"/>
      <c r="CA44" s="47"/>
      <c r="CB44" s="212"/>
      <c r="CC44" s="47"/>
      <c r="CD44" s="211"/>
      <c r="CE44" s="47"/>
      <c r="CF44" s="212"/>
      <c r="CG44" s="47"/>
      <c r="CH44" s="211"/>
      <c r="CI44" s="47"/>
      <c r="CJ44" s="59"/>
      <c r="DJ44" s="60"/>
      <c r="DK44" s="43"/>
      <c r="DL44" s="43"/>
      <c r="DM44" s="43"/>
      <c r="DN44" s="43"/>
      <c r="DO44" s="43" t="str">
        <f>F58</f>
        <v/>
      </c>
      <c r="DW44" s="43">
        <f>BP60</f>
        <v>2</v>
      </c>
      <c r="DZ44" s="43">
        <f>BW60</f>
        <v>-1</v>
      </c>
      <c r="EC44" s="43" t="str">
        <f>if(BW58=0,"","破甲"&amp;BW58)
&amp;if(CK58=0,"","破魔"&amp;CK58)
&amp;if(CD58=0,"","高速"&amp;CD58)</f>
        <v/>
      </c>
      <c r="EF44" s="43">
        <f>CD60</f>
        <v>2</v>
      </c>
      <c r="EI44" s="43" t="str">
        <f>F59</f>
        <v/>
      </c>
      <c r="EL44" s="43" t="str">
        <f>if(ISBLANK(AJ59),""," "&amp;AJ58&amp;AJ59)
&amp;if(ISBLANK(AL59),""," "&amp;AL58&amp;AL59)
&amp;if(ISBLANK(AN59),""," "&amp;AN58&amp;AN59)
&amp;if(ISBLANK(AP59),""," "&amp;AP58&amp;AP59)
&amp;if(ISBLANK(AR59),""," "&amp;AR58&amp;AR59)
&amp;if(ISBLANK(AT59),""," "&amp;AT58&amp;AT59)
&amp;if(ISBLANK(AV59),""," "&amp;AV58&amp;AV59)
&amp;if(ISBLANK(AX59),""," "&amp;AX58&amp;AX59)
&amp;if(ISBLANK(AZ59),""," "&amp;AZ58&amp;AZ59)
&amp;if(ISBLANK(BB59),""," "&amp;BB58&amp;BB59)
&amp;if(ISBLANK(BD59),""," "&amp;BD58&amp;BD59)
&amp;if(ISBLANK(BF59),""," "&amp;BF58&amp;BF59)
&amp;if(ISBLANK(BH59),""," "&amp;BH58&amp;BH59)
&amp;if(ISBLANK(BJ59),""," "&amp;BJ58&amp;BJ59)
</f>
        <v> 屬性2 技能0</v>
      </c>
      <c r="EO44" s="43"/>
      <c r="EP44" s="43"/>
      <c r="EQ44" s="43"/>
      <c r="ER44" s="43"/>
      <c r="ES44" s="43"/>
      <c r="ET44" s="43"/>
      <c r="EU44" s="43"/>
      <c r="EV44" s="43"/>
      <c r="EW44" s="43"/>
      <c r="EX44" s="43"/>
      <c r="EY44" s="43"/>
      <c r="EZ44" s="43"/>
      <c r="FA44" s="43"/>
      <c r="FB44" s="43"/>
      <c r="FC44" s="43"/>
      <c r="FD44" s="43"/>
      <c r="FE44" s="43"/>
      <c r="FF44" s="43"/>
      <c r="FG44" s="43"/>
      <c r="FH44" s="43"/>
      <c r="FI44" s="128"/>
      <c r="FJ44" s="128"/>
      <c r="FK44" s="128"/>
      <c r="FL44" s="128"/>
      <c r="FM44" s="128"/>
      <c r="FN44" s="128"/>
      <c r="FO44" s="128"/>
      <c r="FP44" s="128"/>
      <c r="FQ44" s="128"/>
      <c r="FR44" s="128"/>
      <c r="FS44" s="128"/>
      <c r="FT44" s="128"/>
      <c r="FU44" s="128"/>
      <c r="FV44" s="128"/>
      <c r="FW44" s="128"/>
      <c r="FX44" s="128"/>
      <c r="FY44" s="128"/>
      <c r="FZ44" s="128"/>
      <c r="GA44" s="128"/>
      <c r="GB44" s="128"/>
      <c r="GC44" s="128"/>
      <c r="GD44" s="128"/>
      <c r="GE44" s="43"/>
      <c r="GF44" s="43"/>
      <c r="GG44" s="43"/>
      <c r="GH44" s="43"/>
      <c r="GI44" s="43"/>
      <c r="GJ44" s="43"/>
      <c r="GK44" s="43"/>
      <c r="GL44" s="43"/>
      <c r="GM44" s="43"/>
      <c r="GN44" s="43"/>
      <c r="GO44" s="43"/>
      <c r="GP44" s="43"/>
      <c r="GQ44" s="43"/>
      <c r="GR44" s="43"/>
      <c r="GS44" s="43"/>
      <c r="GT44" s="43"/>
      <c r="GU44" s="43"/>
      <c r="GV44" s="43"/>
      <c r="GW44" s="43"/>
    </row>
    <row r="45" ht="15.0" customHeight="1">
      <c r="A45" s="44"/>
      <c r="B45" s="129"/>
      <c r="C45" s="119" t="s">
        <v>535</v>
      </c>
      <c r="D45" s="46"/>
      <c r="E45" s="46"/>
      <c r="F45" s="47"/>
      <c r="G45" s="192">
        <v>0.0</v>
      </c>
      <c r="H45" s="47"/>
      <c r="I45" s="193"/>
      <c r="J45" s="47"/>
      <c r="K45" s="124"/>
      <c r="L45" s="47"/>
      <c r="M45" s="205"/>
      <c r="N45" s="47"/>
      <c r="O45" s="195" t="str">
        <f t="shared" si="14"/>
        <v>無效</v>
      </c>
      <c r="P45" s="47"/>
      <c r="Q45" s="155"/>
      <c r="R45" s="47"/>
      <c r="S45" s="195" t="str">
        <f t="shared" si="15"/>
        <v>X</v>
      </c>
      <c r="T45" s="47"/>
      <c r="U45" s="206"/>
      <c r="V45" s="46"/>
      <c r="W45" s="46"/>
      <c r="X45" s="46"/>
      <c r="Y45" s="46"/>
      <c r="Z45" s="46"/>
      <c r="AA45" s="46"/>
      <c r="AB45" s="46"/>
      <c r="AC45" s="46"/>
      <c r="AD45" s="47"/>
      <c r="AE45" s="197" t="s">
        <v>558</v>
      </c>
      <c r="AF45" s="217" t="s">
        <v>559</v>
      </c>
      <c r="AG45" s="46"/>
      <c r="AH45" s="47"/>
      <c r="AI45" s="198" t="s">
        <v>560</v>
      </c>
      <c r="AJ45" s="46"/>
      <c r="AK45" s="46"/>
      <c r="AL45" s="47"/>
      <c r="AM45" s="198" t="s">
        <v>561</v>
      </c>
      <c r="AN45" s="46"/>
      <c r="AO45" s="46"/>
      <c r="AP45" s="47"/>
      <c r="AQ45" s="198" t="s">
        <v>562</v>
      </c>
      <c r="AR45" s="46"/>
      <c r="AS45" s="46"/>
      <c r="AT45" s="47"/>
      <c r="AU45" s="199" t="s">
        <v>446</v>
      </c>
      <c r="AV45" s="46"/>
      <c r="AW45" s="47"/>
      <c r="AX45" s="91"/>
      <c r="AY45" s="46"/>
      <c r="AZ45" s="47"/>
      <c r="BA45" s="200">
        <f>vlookup(AU45,$CZ$155:$DI$186,3,false)+vlookup(AF45,$CZ$155:$DI$186,3,false)+AX45+vlookup(AF45,$CZ$155:$DI$186,9,false)+1</f>
        <v>3</v>
      </c>
      <c r="BB45" s="46"/>
      <c r="BC45" s="47"/>
      <c r="BD45" s="200">
        <f t="shared" ref="BD45:BD46" si="21">vlookup(AU45,$CZ$155:$DI$186,3,false)+vlookup(AF45,$CZ$155:$DI$186,3,false)+vlookup(AF45,$CZ$155:$DI$186,9,false)+AX45</f>
        <v>2</v>
      </c>
      <c r="BE45" s="46"/>
      <c r="BF45" s="47"/>
      <c r="BG45" s="200">
        <f t="shared" ref="BG45:BG46" si="22">vlookup(AU45,$CZ$155:$DI$186,5,false)+vlookup(AF45,$CZ$155:$DI$186,5,false)</f>
        <v>-2</v>
      </c>
      <c r="BH45" s="47"/>
      <c r="BI45" s="90" t="s">
        <v>563</v>
      </c>
      <c r="BJ45" s="46"/>
      <c r="BK45" s="46"/>
      <c r="BL45" s="47"/>
      <c r="BM45" s="200">
        <f t="shared" si="20"/>
        <v>2</v>
      </c>
      <c r="BN45" s="46"/>
      <c r="BO45" s="47"/>
      <c r="BP45" s="242">
        <f>V20+O36+X20*3</f>
        <v>2</v>
      </c>
      <c r="BQ45" s="47"/>
      <c r="BR45" s="200">
        <f>AD20+BT45+if(S36&lt;=0,0,S36)</f>
        <v>0</v>
      </c>
      <c r="BS45" s="47"/>
      <c r="BT45" s="91"/>
      <c r="BU45" s="47"/>
      <c r="BV45" s="211"/>
      <c r="BW45" s="47"/>
      <c r="BX45" s="212"/>
      <c r="BY45" s="47"/>
      <c r="BZ45" s="211"/>
      <c r="CA45" s="47"/>
      <c r="CB45" s="212"/>
      <c r="CC45" s="47"/>
      <c r="CD45" s="211"/>
      <c r="CE45" s="47"/>
      <c r="CF45" s="212"/>
      <c r="CG45" s="47"/>
      <c r="CH45" s="211"/>
      <c r="CI45" s="47"/>
      <c r="CJ45" s="59"/>
      <c r="DJ45" s="60"/>
      <c r="DK45" s="53"/>
      <c r="DL45" s="43"/>
      <c r="DM45" s="43"/>
      <c r="DN45" s="43"/>
      <c r="DO45" s="43" t="str">
        <f>F61</f>
        <v/>
      </c>
      <c r="DW45" s="43">
        <f>BP63</f>
        <v>0</v>
      </c>
      <c r="DZ45" s="43" t="str">
        <f>BW63</f>
        <v/>
      </c>
      <c r="EC45" s="43" t="str">
        <f>if(BW61=0,"","破甲"&amp;BW61)
&amp;if(CK61=0,"","破魔"&amp;CK61)
&amp;if(CD61=0,"","高速"&amp;CD61)</f>
        <v/>
      </c>
      <c r="EF45" s="43" t="str">
        <f>CD63</f>
        <v/>
      </c>
      <c r="EI45" s="43" t="str">
        <f>F62</f>
        <v/>
      </c>
      <c r="EL45" s="43" t="str">
        <f>if(ISBLANK(AJ62),""," "&amp;AJ61&amp;AJ62)
&amp;if(ISBLANK(AL62),""," "&amp;AL61&amp;AL62)
&amp;if(ISBLANK(AN62),""," "&amp;AN61&amp;AN62)
&amp;if(ISBLANK(AP62),""," "&amp;AP61&amp;AP62)
&amp;if(ISBLANK(AR62),""," "&amp;AR61&amp;AR62)
&amp;if(ISBLANK(AT62),""," "&amp;AT61&amp;AT62)
&amp;if(ISBLANK(AV62),""," "&amp;AV61&amp;AV62)
&amp;if(ISBLANK(AX62),""," "&amp;AX61&amp;AX62)
&amp;if(ISBLANK(AZ62),""," "&amp;AZ61&amp;AZ62)
&amp;if(ISBLANK(BB62),""," "&amp;BB61&amp;BB62)
&amp;if(ISBLANK(BD62),""," "&amp;BD61&amp;BD62)
&amp;if(ISBLANK(BF62),""," "&amp;BF61&amp;BF62)
&amp;if(ISBLANK(BH62),""," "&amp;BH61&amp;BH62)
&amp;if(ISBLANK(BJ62),""," "&amp;BJ61&amp;BJ62)
</f>
        <v/>
      </c>
      <c r="EO45" s="43"/>
      <c r="EP45" s="43"/>
      <c r="EQ45" s="43"/>
      <c r="ER45" s="43"/>
      <c r="ES45" s="43"/>
      <c r="ET45" s="43"/>
      <c r="EU45" s="43"/>
      <c r="EV45" s="43"/>
      <c r="EW45" s="43"/>
      <c r="EX45" s="43"/>
      <c r="EY45" s="43"/>
      <c r="EZ45" s="43"/>
      <c r="FA45" s="43"/>
      <c r="FB45" s="43"/>
      <c r="FC45" s="43"/>
      <c r="FD45" s="43"/>
      <c r="FE45" s="43"/>
      <c r="FF45" s="43"/>
      <c r="FG45" s="43"/>
      <c r="FH45" s="43"/>
      <c r="FI45" s="128"/>
      <c r="FJ45" s="128"/>
      <c r="FK45" s="128"/>
      <c r="FL45" s="128"/>
      <c r="FM45" s="128"/>
      <c r="FN45" s="128"/>
      <c r="FO45" s="128"/>
      <c r="FP45" s="128"/>
      <c r="FQ45" s="128"/>
      <c r="FR45" s="128"/>
      <c r="FS45" s="128"/>
      <c r="FT45" s="128"/>
      <c r="FU45" s="128"/>
      <c r="FV45" s="128"/>
      <c r="FW45" s="128"/>
      <c r="FX45" s="128"/>
      <c r="FY45" s="128"/>
      <c r="FZ45" s="128"/>
      <c r="GA45" s="128"/>
      <c r="GB45" s="128"/>
      <c r="GC45" s="128"/>
      <c r="GD45" s="128"/>
      <c r="GE45" s="43"/>
      <c r="GF45" s="43"/>
      <c r="GG45" s="43"/>
      <c r="GH45" s="43"/>
      <c r="GI45" s="43"/>
      <c r="GJ45" s="43"/>
      <c r="GK45" s="43"/>
      <c r="GL45" s="43"/>
      <c r="GM45" s="43"/>
      <c r="GN45" s="43"/>
      <c r="GO45" s="43"/>
      <c r="GP45" s="43"/>
      <c r="GQ45" s="43"/>
      <c r="GR45" s="43"/>
      <c r="GS45" s="43"/>
      <c r="GT45" s="43"/>
      <c r="GU45" s="43"/>
      <c r="GV45" s="43"/>
      <c r="GW45" s="43"/>
    </row>
    <row r="46" ht="15.0" customHeight="1">
      <c r="A46" s="44"/>
      <c r="B46" s="129"/>
      <c r="C46" s="119" t="s">
        <v>549</v>
      </c>
      <c r="D46" s="46"/>
      <c r="E46" s="46"/>
      <c r="F46" s="47"/>
      <c r="G46" s="192">
        <v>0.0</v>
      </c>
      <c r="H46" s="47"/>
      <c r="I46" s="193"/>
      <c r="J46" s="47"/>
      <c r="K46" s="124"/>
      <c r="L46" s="47"/>
      <c r="M46" s="205"/>
      <c r="N46" s="47"/>
      <c r="O46" s="195" t="str">
        <f t="shared" si="14"/>
        <v>無效</v>
      </c>
      <c r="P46" s="47"/>
      <c r="Q46" s="155"/>
      <c r="R46" s="47"/>
      <c r="S46" s="195" t="str">
        <f t="shared" si="15"/>
        <v>X</v>
      </c>
      <c r="T46" s="47"/>
      <c r="U46" s="206"/>
      <c r="V46" s="46"/>
      <c r="W46" s="46"/>
      <c r="X46" s="46"/>
      <c r="Y46" s="46"/>
      <c r="Z46" s="46"/>
      <c r="AA46" s="46"/>
      <c r="AB46" s="46"/>
      <c r="AC46" s="46"/>
      <c r="AD46" s="47"/>
      <c r="AE46" s="129"/>
      <c r="AF46" s="218" t="s">
        <v>566</v>
      </c>
      <c r="AG46" s="49"/>
      <c r="AH46" s="50"/>
      <c r="AI46" s="198" t="s">
        <v>567</v>
      </c>
      <c r="AJ46" s="46"/>
      <c r="AK46" s="46"/>
      <c r="AL46" s="46"/>
      <c r="AM46" s="46"/>
      <c r="AN46" s="46"/>
      <c r="AO46" s="46"/>
      <c r="AP46" s="46"/>
      <c r="AQ46" s="46"/>
      <c r="AR46" s="46"/>
      <c r="AS46" s="46"/>
      <c r="AT46" s="47"/>
      <c r="AU46" s="199" t="str">
        <f>if(V23&gt;=V26,C23,C26)</f>
        <v>決心</v>
      </c>
      <c r="AV46" s="46"/>
      <c r="AW46" s="47"/>
      <c r="AX46" s="91"/>
      <c r="AY46" s="46"/>
      <c r="AZ46" s="47"/>
      <c r="BA46" s="200">
        <f>vlookup(AU46,$CZ$155:$DI$186,3,false)+vlookup(AF46,$CZ$155:$DI$186,3,false)+vlookup(AF46,$CZ$155:$DI$186,9,false)+AX46+1</f>
        <v>3</v>
      </c>
      <c r="BB46" s="46"/>
      <c r="BC46" s="47"/>
      <c r="BD46" s="200">
        <f t="shared" si="21"/>
        <v>2</v>
      </c>
      <c r="BE46" s="46"/>
      <c r="BF46" s="47"/>
      <c r="BG46" s="200">
        <f t="shared" si="22"/>
        <v>-2</v>
      </c>
      <c r="BH46" s="47"/>
      <c r="BI46" s="90" t="s">
        <v>568</v>
      </c>
      <c r="BJ46" s="46"/>
      <c r="BK46" s="46"/>
      <c r="BL46" s="47"/>
      <c r="BM46" s="200">
        <f t="shared" si="20"/>
        <v>4</v>
      </c>
      <c r="BN46" s="46"/>
      <c r="BO46" s="47"/>
      <c r="BP46" s="242">
        <f>V23+V26</f>
        <v>4</v>
      </c>
      <c r="BQ46" s="47"/>
      <c r="BR46" s="200">
        <f>AD23+AD26+BT46</f>
        <v>0</v>
      </c>
      <c r="BS46" s="47"/>
      <c r="BT46" s="91"/>
      <c r="BU46" s="47"/>
      <c r="BV46" s="211"/>
      <c r="BW46" s="47"/>
      <c r="BX46" s="212"/>
      <c r="BY46" s="47"/>
      <c r="BZ46" s="211"/>
      <c r="CA46" s="47"/>
      <c r="CB46" s="212"/>
      <c r="CC46" s="47"/>
      <c r="CD46" s="211"/>
      <c r="CE46" s="47"/>
      <c r="CF46" s="212"/>
      <c r="CG46" s="47"/>
      <c r="CH46" s="211"/>
      <c r="CI46" s="47"/>
      <c r="CJ46" s="70"/>
      <c r="CK46" s="57"/>
      <c r="CL46" s="57"/>
      <c r="CM46" s="57"/>
      <c r="CN46" s="57"/>
      <c r="CO46" s="57"/>
      <c r="CP46" s="57"/>
      <c r="CQ46" s="57"/>
      <c r="CR46" s="57"/>
      <c r="CS46" s="57"/>
      <c r="CT46" s="57"/>
      <c r="CU46" s="57"/>
      <c r="CV46" s="57"/>
      <c r="CW46" s="57"/>
      <c r="CX46" s="57"/>
      <c r="CY46" s="57"/>
      <c r="CZ46" s="57"/>
      <c r="DA46" s="57"/>
      <c r="DB46" s="57"/>
      <c r="DC46" s="57"/>
      <c r="DD46" s="57"/>
      <c r="DE46" s="57"/>
      <c r="DF46" s="57"/>
      <c r="DG46" s="57"/>
      <c r="DH46" s="57"/>
      <c r="DI46" s="57"/>
      <c r="DJ46" s="58"/>
      <c r="DK46" s="53"/>
      <c r="DL46" s="43"/>
      <c r="DM46" s="43"/>
      <c r="DN46" s="43"/>
      <c r="DO46" s="43" t="str">
        <f>F64</f>
        <v/>
      </c>
      <c r="DW46" s="43">
        <f>BP66</f>
        <v>0</v>
      </c>
      <c r="DZ46" s="43" t="str">
        <f>BW66</f>
        <v/>
      </c>
      <c r="EC46" s="43" t="str">
        <f>if(BW64=0,"","破甲"&amp;BW64)
&amp;if(CK64=0,"","破魔"&amp;CK64)
&amp;if(CD64=0,"","高速"&amp;CD64)</f>
        <v/>
      </c>
      <c r="EF46" s="43" t="str">
        <f>CD66</f>
        <v/>
      </c>
      <c r="EI46" s="43" t="str">
        <f>F65</f>
        <v/>
      </c>
      <c r="EL46" s="43" t="str">
        <f>if(ISBLANK(AJ65),""," "&amp;AJ64&amp;AJ65)
&amp;if(ISBLANK(AL65),""," "&amp;AL64&amp;AL65)
&amp;if(ISBLANK(AN65),""," "&amp;AN64&amp;AN65)
&amp;if(ISBLANK(AP65),""," "&amp;AP64&amp;AP65)
&amp;if(ISBLANK(AR65),""," "&amp;AR64&amp;AR65)
&amp;if(ISBLANK(AT65),""," "&amp;AT64&amp;AT65)
&amp;if(ISBLANK(AV65),""," "&amp;AV64&amp;AV65)
&amp;if(ISBLANK(AX65),""," "&amp;AX64&amp;AX65)
&amp;if(ISBLANK(AZ65),""," "&amp;AZ64&amp;AZ65)
&amp;if(ISBLANK(BB65),""," "&amp;BB64&amp;BB65)
&amp;if(ISBLANK(BD65),""," "&amp;BD64&amp;BD65)
&amp;if(ISBLANK(BF65),""," "&amp;BF64&amp;BF65)
&amp;if(ISBLANK(BH65),""," "&amp;BH64&amp;BH65)
&amp;if(ISBLANK(BJ65),""," "&amp;BJ64&amp;BJ65)
</f>
        <v/>
      </c>
      <c r="EO46" s="43"/>
      <c r="EP46" s="43"/>
      <c r="EQ46" s="43"/>
      <c r="ER46" s="43"/>
      <c r="ES46" s="43"/>
      <c r="ET46" s="43"/>
      <c r="EU46" s="43"/>
      <c r="EV46" s="43"/>
      <c r="EW46" s="43"/>
      <c r="EX46" s="43"/>
      <c r="EY46" s="43"/>
      <c r="EZ46" s="43"/>
      <c r="FA46" s="43"/>
      <c r="FB46" s="43"/>
      <c r="FC46" s="43"/>
      <c r="FD46" s="43"/>
      <c r="FE46" s="43"/>
      <c r="FF46" s="43"/>
      <c r="FG46" s="43"/>
      <c r="FH46" s="43"/>
      <c r="FI46" s="128"/>
      <c r="FJ46" s="128"/>
      <c r="FK46" s="128"/>
      <c r="FL46" s="128"/>
      <c r="FM46" s="128"/>
      <c r="FN46" s="128"/>
      <c r="FO46" s="128"/>
      <c r="FP46" s="128"/>
      <c r="FQ46" s="128"/>
      <c r="FR46" s="128"/>
      <c r="FS46" s="128"/>
      <c r="FT46" s="128"/>
      <c r="FU46" s="128"/>
      <c r="FV46" s="128"/>
      <c r="FW46" s="128"/>
      <c r="FX46" s="128"/>
      <c r="FY46" s="128"/>
      <c r="FZ46" s="128"/>
      <c r="GA46" s="128"/>
      <c r="GB46" s="128"/>
      <c r="GC46" s="128"/>
      <c r="GD46" s="128"/>
      <c r="GE46" s="43"/>
      <c r="GF46" s="43"/>
      <c r="GG46" s="43"/>
      <c r="GH46" s="43"/>
      <c r="GI46" s="43"/>
      <c r="GJ46" s="43"/>
      <c r="GK46" s="43"/>
      <c r="GL46" s="43"/>
      <c r="GM46" s="43"/>
      <c r="GN46" s="43"/>
      <c r="GO46" s="43"/>
      <c r="GP46" s="43"/>
      <c r="GQ46" s="43"/>
      <c r="GR46" s="43"/>
      <c r="GS46" s="43"/>
      <c r="GT46" s="43"/>
      <c r="GU46" s="43"/>
      <c r="GV46" s="43"/>
      <c r="GW46" s="43"/>
    </row>
    <row r="47" ht="15.0" customHeight="1">
      <c r="A47" s="44"/>
      <c r="B47" s="156"/>
      <c r="C47" s="157" t="s">
        <v>554</v>
      </c>
      <c r="D47" s="158"/>
      <c r="E47" s="158"/>
      <c r="F47" s="159"/>
      <c r="G47" s="243">
        <v>0.0</v>
      </c>
      <c r="H47" s="159"/>
      <c r="I47" s="244"/>
      <c r="J47" s="159"/>
      <c r="K47" s="245"/>
      <c r="L47" s="159"/>
      <c r="M47" s="246"/>
      <c r="N47" s="159"/>
      <c r="O47" s="247" t="str">
        <f t="shared" si="14"/>
        <v>無效</v>
      </c>
      <c r="P47" s="159"/>
      <c r="Q47" s="168"/>
      <c r="R47" s="159"/>
      <c r="S47" s="247" t="str">
        <f t="shared" si="15"/>
        <v>X</v>
      </c>
      <c r="T47" s="159"/>
      <c r="U47" s="248"/>
      <c r="V47" s="158"/>
      <c r="W47" s="158"/>
      <c r="X47" s="158"/>
      <c r="Y47" s="158"/>
      <c r="Z47" s="158"/>
      <c r="AA47" s="158"/>
      <c r="AB47" s="158"/>
      <c r="AC47" s="158"/>
      <c r="AD47" s="159"/>
      <c r="AE47" s="129"/>
      <c r="AF47" s="70"/>
      <c r="AG47" s="57"/>
      <c r="AH47" s="58"/>
      <c r="AI47" s="198" t="s">
        <v>569</v>
      </c>
      <c r="AJ47" s="46"/>
      <c r="AK47" s="46"/>
      <c r="AL47" s="46"/>
      <c r="AM47" s="46"/>
      <c r="AN47" s="46"/>
      <c r="AO47" s="46"/>
      <c r="AP47" s="46"/>
      <c r="AQ47" s="46"/>
      <c r="AR47" s="46"/>
      <c r="AS47" s="46"/>
      <c r="AT47" s="47"/>
      <c r="AU47" s="199" t="s">
        <v>436</v>
      </c>
      <c r="AV47" s="46"/>
      <c r="AW47" s="47"/>
      <c r="AX47" s="91"/>
      <c r="AY47" s="46"/>
      <c r="AZ47" s="47"/>
      <c r="BA47" s="200">
        <f>vlookup(AU47,$CZ$155:$DI$186,3,false)+vlookup(AF46,$CZ$155:$DI$186,3,false)+vlookup(AF46,$CZ$155:$DI$186,9,false)+AX47+1</f>
        <v>3</v>
      </c>
      <c r="BB47" s="46"/>
      <c r="BC47" s="47"/>
      <c r="BD47" s="200">
        <f>vlookup(AU47,$CZ$155:$DI$186,3,false)+vlookup(AF46,$CZ$155:$DI$186,3,false)+vlookup(AF46,$CZ$155:$DI$186,9,false)+AX47</f>
        <v>2</v>
      </c>
      <c r="BE47" s="46"/>
      <c r="BF47" s="47"/>
      <c r="BG47" s="200">
        <f>vlookup(AU47,$CZ$155:$DI$186,5,false)+vlookup(AF46,$CZ$155:$DI$186,5,false)</f>
        <v>-2</v>
      </c>
      <c r="BH47" s="47"/>
      <c r="BI47" s="249" t="s">
        <v>571</v>
      </c>
      <c r="BJ47" s="46"/>
      <c r="BK47" s="46"/>
      <c r="BL47" s="46"/>
      <c r="BM47" s="46"/>
      <c r="BN47" s="46"/>
      <c r="BO47" s="46"/>
      <c r="BP47" s="46"/>
      <c r="BQ47" s="46"/>
      <c r="BR47" s="46"/>
      <c r="BS47" s="46"/>
      <c r="BT47" s="46"/>
      <c r="BU47" s="46"/>
      <c r="BV47" s="46"/>
      <c r="BW47" s="46"/>
      <c r="BX47" s="46"/>
      <c r="BY47" s="46"/>
      <c r="BZ47" s="46"/>
      <c r="CA47" s="47"/>
      <c r="CB47" s="61" t="s">
        <v>572</v>
      </c>
      <c r="CC47" s="49"/>
      <c r="CD47" s="49"/>
      <c r="CE47" s="49"/>
      <c r="CF47" s="49"/>
      <c r="CG47" s="49"/>
      <c r="CH47" s="49"/>
      <c r="CI47" s="49"/>
      <c r="CJ47" s="49"/>
      <c r="CK47" s="49"/>
      <c r="CL47" s="49"/>
      <c r="CM47" s="49"/>
      <c r="CN47" s="49"/>
      <c r="CO47" s="49"/>
      <c r="CP47" s="49"/>
      <c r="CQ47" s="49"/>
      <c r="CR47" s="49"/>
      <c r="CS47" s="49"/>
      <c r="CT47" s="49"/>
      <c r="CU47" s="49"/>
      <c r="CV47" s="49"/>
      <c r="CW47" s="49"/>
      <c r="CX47" s="49"/>
      <c r="CY47" s="49"/>
      <c r="CZ47" s="49"/>
      <c r="DA47" s="49"/>
      <c r="DB47" s="49"/>
      <c r="DC47" s="49"/>
      <c r="DD47" s="49"/>
      <c r="DE47" s="49"/>
      <c r="DF47" s="49"/>
      <c r="DG47" s="49"/>
      <c r="DH47" s="49"/>
      <c r="DI47" s="49"/>
      <c r="DJ47" s="50"/>
      <c r="DK47" s="53"/>
      <c r="DL47" s="43"/>
      <c r="DM47" s="43"/>
      <c r="DN47" s="43"/>
      <c r="DO47" s="43" t="str">
        <f>F67</f>
        <v/>
      </c>
      <c r="DW47" s="43">
        <f>BP69</f>
        <v>0</v>
      </c>
      <c r="DZ47" s="43" t="str">
        <f>BW69</f>
        <v/>
      </c>
      <c r="EC47" s="43" t="str">
        <f>if(BW67=0,"","破甲"&amp;BW67)
&amp;if(CK67=0,"","破魔"&amp;CK67)
&amp;if(CD67=0,"","高速"&amp;CD67)</f>
        <v/>
      </c>
      <c r="EF47" s="43" t="str">
        <f>CD69</f>
        <v/>
      </c>
      <c r="EI47" s="43" t="str">
        <f>F68</f>
        <v/>
      </c>
      <c r="EL47" s="43" t="str">
        <f>if(ISBLANK(AJ68),""," "&amp;AJ67&amp;AJ68)
&amp;if(ISBLANK(AL68),""," "&amp;AL67&amp;AL68)
&amp;if(ISBLANK(AN68),""," "&amp;AN67&amp;AN68)
&amp;if(ISBLANK(AP68),""," "&amp;AP67&amp;AP68)
&amp;if(ISBLANK(AR68),""," "&amp;AR67&amp;AR68)
&amp;if(ISBLANK(AT68),""," "&amp;AT67&amp;AT68)
&amp;if(ISBLANK(AV68),""," "&amp;AV67&amp;AV68)
&amp;if(ISBLANK(AX68),""," "&amp;AX67&amp;AX68)
&amp;if(ISBLANK(AZ68),""," "&amp;AZ67&amp;AZ68)
&amp;if(ISBLANK(BB68),""," "&amp;BB67&amp;BB68)
&amp;if(ISBLANK(BD68),""," "&amp;BD67&amp;BD68)
&amp;if(ISBLANK(BF68),""," "&amp;BF67&amp;BF68)
&amp;if(ISBLANK(BH68),""," "&amp;BH67&amp;BH68)
&amp;if(ISBLANK(BJ68),""," "&amp;BJ67&amp;BJ68)
</f>
        <v/>
      </c>
      <c r="EO47" s="43"/>
      <c r="EP47" s="43"/>
      <c r="EQ47" s="43"/>
      <c r="ER47" s="43"/>
      <c r="ES47" s="43"/>
      <c r="ET47" s="43"/>
      <c r="EU47" s="43"/>
      <c r="EV47" s="43"/>
      <c r="EW47" s="43"/>
      <c r="EX47" s="43"/>
      <c r="EY47" s="43"/>
      <c r="EZ47" s="43"/>
      <c r="FA47" s="43"/>
      <c r="FB47" s="43"/>
      <c r="FC47" s="43"/>
      <c r="FD47" s="43"/>
      <c r="FE47" s="43"/>
      <c r="FF47" s="43"/>
      <c r="FG47" s="43"/>
      <c r="FH47" s="43"/>
      <c r="FI47" s="128"/>
      <c r="FJ47" s="128"/>
      <c r="FK47" s="128"/>
      <c r="FL47" s="128"/>
      <c r="FM47" s="128"/>
      <c r="FN47" s="128"/>
      <c r="FO47" s="128"/>
      <c r="FP47" s="128"/>
      <c r="FQ47" s="128"/>
      <c r="FR47" s="128"/>
      <c r="FS47" s="128"/>
      <c r="FT47" s="128"/>
      <c r="FU47" s="128"/>
      <c r="FV47" s="128"/>
      <c r="FW47" s="128"/>
      <c r="FX47" s="128"/>
      <c r="FY47" s="128"/>
      <c r="FZ47" s="128"/>
      <c r="GA47" s="128"/>
      <c r="GB47" s="128"/>
      <c r="GC47" s="128"/>
      <c r="GD47" s="128"/>
      <c r="GE47" s="43"/>
      <c r="GF47" s="43"/>
      <c r="GG47" s="43"/>
      <c r="GH47" s="43"/>
      <c r="GI47" s="43"/>
      <c r="GJ47" s="43"/>
      <c r="GK47" s="43"/>
      <c r="GL47" s="43"/>
      <c r="GM47" s="43"/>
      <c r="GN47" s="43"/>
      <c r="GO47" s="43"/>
      <c r="GP47" s="43"/>
      <c r="GQ47" s="43"/>
      <c r="GR47" s="43"/>
      <c r="GS47" s="43"/>
      <c r="GT47" s="43"/>
      <c r="GU47" s="43"/>
      <c r="GV47" s="43"/>
      <c r="GW47" s="43"/>
    </row>
    <row r="48" ht="15.0" customHeight="1">
      <c r="A48" s="44"/>
      <c r="B48" s="169" t="s">
        <v>574</v>
      </c>
      <c r="C48" s="250" t="s">
        <v>575</v>
      </c>
      <c r="D48" s="57"/>
      <c r="E48" s="57"/>
      <c r="F48" s="58"/>
      <c r="G48" s="251">
        <v>0.0</v>
      </c>
      <c r="H48" s="58"/>
      <c r="I48" s="252"/>
      <c r="J48" s="58"/>
      <c r="K48" s="253"/>
      <c r="L48" s="58"/>
      <c r="M48" s="254"/>
      <c r="N48" s="58"/>
      <c r="O48" s="255">
        <f t="shared" ref="O48:O55" si="23">SUM(G48:N48)</f>
        <v>0</v>
      </c>
      <c r="P48" s="58"/>
      <c r="Q48" s="178"/>
      <c r="R48" s="58"/>
      <c r="S48" s="255">
        <f t="shared" ref="S48:S55" si="24">LOOKUP(O48,{0,1,5,7,9,11,13,15},{-2,0,1,2,3,4,5,6})+Q48</f>
        <v>-2</v>
      </c>
      <c r="T48" s="58"/>
      <c r="U48" s="256"/>
      <c r="V48" s="57"/>
      <c r="W48" s="57"/>
      <c r="X48" s="57"/>
      <c r="Y48" s="57"/>
      <c r="Z48" s="57"/>
      <c r="AA48" s="57"/>
      <c r="AB48" s="57"/>
      <c r="AC48" s="57"/>
      <c r="AD48" s="58"/>
      <c r="AE48" s="129"/>
      <c r="AF48" s="218" t="s">
        <v>576</v>
      </c>
      <c r="AG48" s="49"/>
      <c r="AH48" s="50"/>
      <c r="AI48" s="198" t="str">
        <f t="shared" ref="AI48:AI50" si="25">D50</f>
        <v/>
      </c>
      <c r="AJ48" s="46"/>
      <c r="AK48" s="46"/>
      <c r="AL48" s="46"/>
      <c r="AM48" s="46"/>
      <c r="AN48" s="46"/>
      <c r="AO48" s="46"/>
      <c r="AP48" s="46"/>
      <c r="AQ48" s="46"/>
      <c r="AR48" s="46"/>
      <c r="AS48" s="46"/>
      <c r="AT48" s="47"/>
      <c r="AU48" s="199" t="s">
        <v>445</v>
      </c>
      <c r="AV48" s="46"/>
      <c r="AW48" s="47"/>
      <c r="AX48" s="91"/>
      <c r="AY48" s="46"/>
      <c r="AZ48" s="47"/>
      <c r="BA48" s="200">
        <f t="shared" ref="BA48:BA50" si="26">$V$24+O50+AX48+1</f>
        <v>3</v>
      </c>
      <c r="BB48" s="46"/>
      <c r="BC48" s="47"/>
      <c r="BD48" s="200">
        <f t="shared" ref="BD48:BD50" si="27">$V$24+O50+AX48</f>
        <v>2</v>
      </c>
      <c r="BE48" s="46"/>
      <c r="BF48" s="47"/>
      <c r="BG48" s="200"/>
      <c r="BH48" s="47"/>
      <c r="BI48" s="257" t="s">
        <v>577</v>
      </c>
      <c r="BJ48" s="47"/>
      <c r="BK48" s="258" t="s">
        <v>578</v>
      </c>
      <c r="BL48" s="46"/>
      <c r="BM48" s="47"/>
      <c r="BN48" s="259" t="s">
        <v>579</v>
      </c>
      <c r="BO48" s="46"/>
      <c r="BP48" s="47"/>
      <c r="BQ48" s="260" t="s">
        <v>580</v>
      </c>
      <c r="BR48" s="47"/>
      <c r="BS48" s="260" t="s">
        <v>4</v>
      </c>
      <c r="BT48" s="46"/>
      <c r="BU48" s="46"/>
      <c r="BV48" s="46"/>
      <c r="BW48" s="47"/>
      <c r="BX48" s="261" t="s">
        <v>581</v>
      </c>
      <c r="BY48" s="46"/>
      <c r="BZ48" s="46"/>
      <c r="CA48" s="47"/>
      <c r="CB48" s="104"/>
      <c r="CJ48" s="43"/>
      <c r="CK48" s="43"/>
      <c r="CS48" s="43"/>
      <c r="CT48" s="43"/>
      <c r="DB48" s="43"/>
      <c r="DC48" s="43"/>
      <c r="DJ48" s="60"/>
      <c r="DK48" s="53"/>
      <c r="DL48" s="43"/>
      <c r="DM48" s="43"/>
      <c r="DN48" s="43"/>
      <c r="DO48" s="43" t="str">
        <f>F70</f>
        <v/>
      </c>
      <c r="DW48" s="43">
        <f>BP72</f>
        <v>0</v>
      </c>
      <c r="DZ48" s="43" t="str">
        <f>BW72</f>
        <v/>
      </c>
      <c r="EC48" s="43" t="str">
        <f>if(BW70=0,"","破甲"&amp;BW70)
&amp;if(CK70=0,"","破魔"&amp;CK70)
&amp;if(CD70=0,"","高速"&amp;CD70)</f>
        <v/>
      </c>
      <c r="EF48" s="43" t="str">
        <f>CD72</f>
        <v/>
      </c>
      <c r="EI48" s="43" t="str">
        <f>F71</f>
        <v/>
      </c>
      <c r="EL48" s="43" t="str">
        <f>if(ISBLANK(AJ71),""," "&amp;AJ70&amp;AJ71)
&amp;if(ISBLANK(AL71),""," "&amp;AL70&amp;AL71)
&amp;if(ISBLANK(AN71),""," "&amp;AN70&amp;AN71)
&amp;if(ISBLANK(AP71),""," "&amp;AP70&amp;AP71)
&amp;if(ISBLANK(AR71),""," "&amp;AR70&amp;AR71)
&amp;if(ISBLANK(AT71),""," "&amp;AT70&amp;AT71)
&amp;if(ISBLANK(AV71),""," "&amp;AV70&amp;AV71)
&amp;if(ISBLANK(AX71),""," "&amp;AX70&amp;AX71)
&amp;if(ISBLANK(AZ71),""," "&amp;AZ70&amp;AZ71)
&amp;if(ISBLANK(BB71),""," "&amp;BB70&amp;BB71)
&amp;if(ISBLANK(BD71),""," "&amp;BD70&amp;BD71)
&amp;if(ISBLANK(BF71),""," "&amp;BF70&amp;BF71)
&amp;if(ISBLANK(BH71),""," "&amp;BH70&amp;BH71)
&amp;if(ISBLANK(BJ71),""," "&amp;BJ70&amp;BJ71)
</f>
        <v/>
      </c>
      <c r="EO48" s="43"/>
      <c r="EP48" s="43"/>
      <c r="EQ48" s="43"/>
      <c r="ER48" s="43"/>
      <c r="ES48" s="43"/>
      <c r="ET48" s="43"/>
      <c r="EU48" s="43"/>
      <c r="EV48" s="43"/>
      <c r="EW48" s="43"/>
      <c r="EX48" s="43"/>
      <c r="EY48" s="43"/>
      <c r="EZ48" s="43"/>
      <c r="FA48" s="43"/>
      <c r="FB48" s="43"/>
      <c r="FC48" s="43"/>
      <c r="FD48" s="43"/>
      <c r="FE48" s="43"/>
      <c r="FF48" s="43"/>
      <c r="FG48" s="43"/>
      <c r="FH48" s="43"/>
      <c r="FI48" s="43"/>
      <c r="FJ48" s="43"/>
      <c r="FK48" s="43"/>
      <c r="FL48" s="43"/>
      <c r="FM48" s="43"/>
      <c r="FN48" s="43"/>
      <c r="FO48" s="43"/>
      <c r="FP48" s="43"/>
      <c r="FQ48" s="43"/>
      <c r="FR48" s="43"/>
      <c r="FS48" s="43"/>
      <c r="FT48" s="43"/>
      <c r="FU48" s="43"/>
      <c r="FV48" s="43"/>
      <c r="FW48" s="43"/>
      <c r="FX48" s="43"/>
      <c r="FY48" s="43"/>
      <c r="FZ48" s="43"/>
      <c r="GA48" s="43"/>
      <c r="GB48" s="43"/>
      <c r="GC48" s="43"/>
      <c r="GD48" s="128"/>
      <c r="GE48" s="43"/>
      <c r="GF48" s="43"/>
      <c r="GG48" s="43"/>
      <c r="GH48" s="43"/>
      <c r="GI48" s="43"/>
      <c r="GJ48" s="43"/>
      <c r="GK48" s="43"/>
      <c r="GL48" s="43"/>
      <c r="GM48" s="43"/>
      <c r="GN48" s="43"/>
      <c r="GO48" s="43"/>
      <c r="GP48" s="43"/>
      <c r="GQ48" s="43"/>
      <c r="GR48" s="43"/>
      <c r="GS48" s="43"/>
      <c r="GT48" s="43"/>
      <c r="GU48" s="43"/>
      <c r="GV48" s="43"/>
      <c r="GW48" s="43"/>
    </row>
    <row r="49" ht="15.0" customHeight="1">
      <c r="A49" s="44"/>
      <c r="B49" s="129"/>
      <c r="C49" s="119" t="s">
        <v>566</v>
      </c>
      <c r="D49" s="46"/>
      <c r="E49" s="46"/>
      <c r="F49" s="47"/>
      <c r="G49" s="192">
        <v>0.0</v>
      </c>
      <c r="H49" s="47"/>
      <c r="I49" s="204"/>
      <c r="J49" s="47"/>
      <c r="K49" s="124"/>
      <c r="L49" s="47"/>
      <c r="M49" s="205"/>
      <c r="N49" s="47"/>
      <c r="O49" s="195">
        <f t="shared" si="23"/>
        <v>0</v>
      </c>
      <c r="P49" s="47"/>
      <c r="Q49" s="155"/>
      <c r="R49" s="47"/>
      <c r="S49" s="195">
        <f t="shared" si="24"/>
        <v>-2</v>
      </c>
      <c r="T49" s="47"/>
      <c r="U49" s="196"/>
      <c r="V49" s="46"/>
      <c r="W49" s="46"/>
      <c r="X49" s="46"/>
      <c r="Y49" s="46"/>
      <c r="Z49" s="46"/>
      <c r="AA49" s="46"/>
      <c r="AB49" s="46"/>
      <c r="AC49" s="46"/>
      <c r="AD49" s="47"/>
      <c r="AE49" s="129"/>
      <c r="AF49" s="59"/>
      <c r="AH49" s="60"/>
      <c r="AI49" s="198" t="str">
        <f t="shared" si="25"/>
        <v/>
      </c>
      <c r="AJ49" s="46"/>
      <c r="AK49" s="46"/>
      <c r="AL49" s="46"/>
      <c r="AM49" s="46"/>
      <c r="AN49" s="46"/>
      <c r="AO49" s="46"/>
      <c r="AP49" s="46"/>
      <c r="AQ49" s="46"/>
      <c r="AR49" s="46"/>
      <c r="AS49" s="46"/>
      <c r="AT49" s="47"/>
      <c r="AU49" s="199" t="s">
        <v>445</v>
      </c>
      <c r="AV49" s="46"/>
      <c r="AW49" s="47"/>
      <c r="AX49" s="91"/>
      <c r="AY49" s="46"/>
      <c r="AZ49" s="47"/>
      <c r="BA49" s="200">
        <f t="shared" si="26"/>
        <v>3</v>
      </c>
      <c r="BB49" s="46"/>
      <c r="BC49" s="47"/>
      <c r="BD49" s="200">
        <f t="shared" si="27"/>
        <v>2</v>
      </c>
      <c r="BE49" s="46"/>
      <c r="BF49" s="47"/>
      <c r="BG49" s="200"/>
      <c r="BH49" s="47"/>
      <c r="BI49" s="257" t="s">
        <v>584</v>
      </c>
      <c r="BJ49" s="47"/>
      <c r="BK49" s="258" t="s">
        <v>578</v>
      </c>
      <c r="BL49" s="46"/>
      <c r="BM49" s="47"/>
      <c r="BN49" s="259" t="s">
        <v>579</v>
      </c>
      <c r="BO49" s="46"/>
      <c r="BP49" s="47"/>
      <c r="BQ49" s="260" t="s">
        <v>580</v>
      </c>
      <c r="BR49" s="47"/>
      <c r="BS49" s="260" t="s">
        <v>4</v>
      </c>
      <c r="BT49" s="46"/>
      <c r="BU49" s="46"/>
      <c r="BV49" s="46"/>
      <c r="BW49" s="47"/>
      <c r="BX49" s="261" t="s">
        <v>581</v>
      </c>
      <c r="BY49" s="46"/>
      <c r="BZ49" s="46"/>
      <c r="CA49" s="47"/>
      <c r="CB49" s="59"/>
      <c r="DJ49" s="60"/>
      <c r="DK49" s="53"/>
      <c r="DL49" s="43"/>
      <c r="DM49" s="43"/>
      <c r="DN49" s="43"/>
      <c r="DO49" s="43"/>
      <c r="DP49" s="43"/>
      <c r="DQ49" s="43"/>
      <c r="DR49" s="43"/>
      <c r="DS49" s="43"/>
      <c r="DT49" s="43"/>
      <c r="DU49" s="43"/>
      <c r="DV49" s="43"/>
      <c r="DW49" s="43"/>
      <c r="DX49" s="43"/>
      <c r="DY49" s="43"/>
      <c r="DZ49" s="43"/>
      <c r="EA49" s="43"/>
      <c r="EB49" s="43"/>
      <c r="EC49" s="43"/>
      <c r="ED49" s="43"/>
      <c r="EE49" s="43"/>
      <c r="EF49" s="43"/>
      <c r="EG49" s="43"/>
      <c r="EH49" s="43"/>
      <c r="EI49" s="43"/>
      <c r="EJ49" s="43"/>
      <c r="EK49" s="43"/>
      <c r="EL49" s="43"/>
      <c r="EM49" s="43"/>
      <c r="EN49" s="43"/>
      <c r="EO49" s="43"/>
      <c r="EP49" s="43"/>
      <c r="EQ49" s="43"/>
      <c r="ER49" s="43"/>
      <c r="ES49" s="43"/>
      <c r="ET49" s="43"/>
      <c r="EU49" s="43"/>
      <c r="EV49" s="43"/>
      <c r="EW49" s="43"/>
      <c r="EX49" s="43"/>
      <c r="EY49" s="43"/>
      <c r="EZ49" s="43"/>
      <c r="FA49" s="43"/>
      <c r="FB49" s="43"/>
      <c r="FC49" s="43"/>
      <c r="FD49" s="43"/>
      <c r="FE49" s="43"/>
      <c r="FF49" s="43"/>
      <c r="FG49" s="43"/>
      <c r="FH49" s="43"/>
      <c r="FI49" s="43"/>
      <c r="FJ49" s="43"/>
      <c r="FK49" s="43"/>
      <c r="FL49" s="43"/>
      <c r="FM49" s="43"/>
      <c r="FN49" s="43"/>
      <c r="FO49" s="43"/>
      <c r="FP49" s="43"/>
      <c r="FQ49" s="43"/>
      <c r="FR49" s="43"/>
      <c r="FS49" s="43"/>
      <c r="FT49" s="43"/>
      <c r="FU49" s="43"/>
      <c r="FV49" s="43"/>
      <c r="FW49" s="43"/>
      <c r="FX49" s="43"/>
      <c r="FY49" s="43"/>
      <c r="FZ49" s="43"/>
      <c r="GA49" s="43"/>
      <c r="GB49" s="43"/>
      <c r="GC49" s="43"/>
      <c r="GD49" s="43"/>
      <c r="GE49" s="43"/>
      <c r="GF49" s="43"/>
      <c r="GG49" s="43"/>
      <c r="GH49" s="43"/>
      <c r="GI49" s="43"/>
      <c r="GJ49" s="43"/>
      <c r="GK49" s="43"/>
      <c r="GL49" s="43"/>
      <c r="GM49" s="43"/>
      <c r="GN49" s="43"/>
      <c r="GO49" s="43"/>
      <c r="GP49" s="43"/>
      <c r="GQ49" s="43"/>
      <c r="GR49" s="43"/>
      <c r="GS49" s="43"/>
      <c r="GT49" s="43"/>
      <c r="GU49" s="43"/>
      <c r="GV49" s="43"/>
      <c r="GW49" s="43"/>
    </row>
    <row r="50" ht="15.0" customHeight="1">
      <c r="A50" s="44"/>
      <c r="B50" s="129"/>
      <c r="C50" s="233" t="s">
        <v>585</v>
      </c>
      <c r="D50" s="234"/>
      <c r="E50" s="46"/>
      <c r="F50" s="47"/>
      <c r="G50" s="192">
        <v>0.0</v>
      </c>
      <c r="H50" s="47"/>
      <c r="I50" s="204"/>
      <c r="J50" s="47"/>
      <c r="K50" s="124"/>
      <c r="L50" s="47"/>
      <c r="M50" s="205"/>
      <c r="N50" s="47"/>
      <c r="O50" s="195">
        <f t="shared" si="23"/>
        <v>0</v>
      </c>
      <c r="P50" s="47"/>
      <c r="Q50" s="155"/>
      <c r="R50" s="47"/>
      <c r="S50" s="195">
        <f t="shared" si="24"/>
        <v>-2</v>
      </c>
      <c r="T50" s="47"/>
      <c r="U50" s="206"/>
      <c r="V50" s="46"/>
      <c r="W50" s="46"/>
      <c r="X50" s="46"/>
      <c r="Y50" s="46"/>
      <c r="Z50" s="46"/>
      <c r="AA50" s="46"/>
      <c r="AB50" s="46"/>
      <c r="AC50" s="46"/>
      <c r="AD50" s="47"/>
      <c r="AE50" s="129"/>
      <c r="AF50" s="70"/>
      <c r="AG50" s="57"/>
      <c r="AH50" s="58"/>
      <c r="AI50" s="198" t="str">
        <f t="shared" si="25"/>
        <v/>
      </c>
      <c r="AJ50" s="46"/>
      <c r="AK50" s="46"/>
      <c r="AL50" s="46"/>
      <c r="AM50" s="46"/>
      <c r="AN50" s="46"/>
      <c r="AO50" s="46"/>
      <c r="AP50" s="46"/>
      <c r="AQ50" s="46"/>
      <c r="AR50" s="46"/>
      <c r="AS50" s="46"/>
      <c r="AT50" s="47"/>
      <c r="AU50" s="199" t="s">
        <v>445</v>
      </c>
      <c r="AV50" s="46"/>
      <c r="AW50" s="47"/>
      <c r="AX50" s="91"/>
      <c r="AY50" s="46"/>
      <c r="AZ50" s="47"/>
      <c r="BA50" s="200">
        <f t="shared" si="26"/>
        <v>3</v>
      </c>
      <c r="BB50" s="46"/>
      <c r="BC50" s="47"/>
      <c r="BD50" s="200">
        <f t="shared" si="27"/>
        <v>2</v>
      </c>
      <c r="BE50" s="46"/>
      <c r="BF50" s="47"/>
      <c r="BG50" s="200"/>
      <c r="BH50" s="47"/>
      <c r="BI50" s="262" t="s">
        <v>586</v>
      </c>
      <c r="BJ50" s="50"/>
      <c r="BK50" s="263" t="s">
        <v>587</v>
      </c>
      <c r="BL50" s="46"/>
      <c r="BM50" s="46"/>
      <c r="BN50" s="46"/>
      <c r="BO50" s="46"/>
      <c r="BP50" s="47"/>
      <c r="BQ50" s="264" t="s">
        <v>579</v>
      </c>
      <c r="BR50" s="46"/>
      <c r="BS50" s="47"/>
      <c r="BT50" s="265" t="s">
        <v>4</v>
      </c>
      <c r="BU50" s="49"/>
      <c r="BV50" s="49"/>
      <c r="BW50" s="50"/>
      <c r="BX50" s="266" t="s">
        <v>581</v>
      </c>
      <c r="BY50" s="49"/>
      <c r="BZ50" s="49"/>
      <c r="CA50" s="50"/>
      <c r="CB50" s="104"/>
      <c r="CK50" s="43"/>
      <c r="CT50" s="43"/>
      <c r="DC50" s="43"/>
      <c r="DJ50" s="60"/>
      <c r="DK50" s="53"/>
      <c r="DL50" s="43"/>
      <c r="DM50" s="43"/>
      <c r="DN50" s="43"/>
      <c r="DO50" s="43"/>
      <c r="DP50" s="43"/>
      <c r="DQ50" s="43"/>
      <c r="DR50" s="43"/>
      <c r="DS50" s="43"/>
      <c r="DT50" s="43"/>
      <c r="DU50" s="43"/>
      <c r="DV50" s="43"/>
      <c r="DW50" s="43"/>
      <c r="DX50" s="43"/>
      <c r="DY50" s="43"/>
      <c r="DZ50" s="43"/>
      <c r="EA50" s="43"/>
      <c r="EB50" s="43"/>
      <c r="EC50" s="43"/>
      <c r="ED50" s="43"/>
      <c r="EE50" s="43"/>
      <c r="EF50" s="43"/>
      <c r="EG50" s="43"/>
      <c r="EH50" s="43"/>
      <c r="EI50" s="43"/>
      <c r="EJ50" s="43"/>
      <c r="EK50" s="43"/>
      <c r="EL50" s="43"/>
      <c r="EM50" s="43"/>
      <c r="EN50" s="43"/>
      <c r="EO50" s="43"/>
      <c r="EP50" s="43"/>
      <c r="EQ50" s="43"/>
      <c r="ER50" s="43"/>
      <c r="ES50" s="43"/>
      <c r="ET50" s="43"/>
      <c r="EU50" s="43"/>
      <c r="EV50" s="43"/>
      <c r="EW50" s="43"/>
      <c r="EX50" s="43"/>
      <c r="EY50" s="43"/>
      <c r="EZ50" s="43"/>
      <c r="FA50" s="43"/>
      <c r="FB50" s="43"/>
      <c r="FC50" s="43"/>
      <c r="FD50" s="43"/>
      <c r="FE50" s="43"/>
      <c r="FF50" s="43"/>
      <c r="FG50" s="43"/>
      <c r="FH50" s="43"/>
      <c r="FI50" s="43"/>
      <c r="FJ50" s="43"/>
      <c r="FK50" s="43"/>
      <c r="FL50" s="43"/>
      <c r="FM50" s="43"/>
      <c r="FN50" s="43"/>
      <c r="FO50" s="43"/>
      <c r="FP50" s="43"/>
      <c r="FQ50" s="43"/>
      <c r="FR50" s="43"/>
      <c r="FS50" s="43"/>
      <c r="FT50" s="43"/>
      <c r="FU50" s="43"/>
      <c r="FV50" s="43"/>
      <c r="FW50" s="43"/>
      <c r="FX50" s="43"/>
      <c r="FY50" s="43"/>
      <c r="FZ50" s="43"/>
      <c r="GA50" s="43"/>
      <c r="GB50" s="43"/>
      <c r="GC50" s="43"/>
      <c r="GD50" s="43"/>
      <c r="GE50" s="43"/>
      <c r="GF50" s="43"/>
      <c r="GG50" s="43"/>
      <c r="GH50" s="43"/>
      <c r="GI50" s="43"/>
      <c r="GJ50" s="43"/>
      <c r="GK50" s="43"/>
      <c r="GL50" s="43"/>
      <c r="GM50" s="43"/>
      <c r="GN50" s="43"/>
      <c r="GO50" s="43"/>
      <c r="GP50" s="43"/>
      <c r="GQ50" s="43"/>
      <c r="GR50" s="43"/>
      <c r="GS50" s="43"/>
      <c r="GT50" s="43"/>
      <c r="GU50" s="43"/>
      <c r="GV50" s="43"/>
      <c r="GW50" s="43"/>
    </row>
    <row r="51" ht="15.0" customHeight="1">
      <c r="A51" s="44"/>
      <c r="B51" s="129"/>
      <c r="C51" s="129"/>
      <c r="D51" s="234"/>
      <c r="E51" s="46"/>
      <c r="F51" s="47"/>
      <c r="G51" s="232">
        <v>0.0</v>
      </c>
      <c r="H51" s="47"/>
      <c r="I51" s="204"/>
      <c r="J51" s="47"/>
      <c r="K51" s="130"/>
      <c r="L51" s="47"/>
      <c r="M51" s="205"/>
      <c r="N51" s="47"/>
      <c r="O51" s="195">
        <f t="shared" si="23"/>
        <v>0</v>
      </c>
      <c r="P51" s="47"/>
      <c r="Q51" s="155"/>
      <c r="R51" s="47"/>
      <c r="S51" s="195">
        <f t="shared" si="24"/>
        <v>-2</v>
      </c>
      <c r="T51" s="47"/>
      <c r="U51" s="206"/>
      <c r="V51" s="46"/>
      <c r="W51" s="46"/>
      <c r="X51" s="46"/>
      <c r="Y51" s="46"/>
      <c r="Z51" s="46"/>
      <c r="AA51" s="46"/>
      <c r="AB51" s="46"/>
      <c r="AC51" s="46"/>
      <c r="AD51" s="47"/>
      <c r="AE51" s="129"/>
      <c r="AF51" s="218" t="s">
        <v>589</v>
      </c>
      <c r="AG51" s="49"/>
      <c r="AH51" s="50"/>
      <c r="AI51" s="198" t="s">
        <v>590</v>
      </c>
      <c r="AJ51" s="46"/>
      <c r="AK51" s="46"/>
      <c r="AL51" s="46"/>
      <c r="AM51" s="46"/>
      <c r="AN51" s="46"/>
      <c r="AO51" s="46"/>
      <c r="AP51" s="46"/>
      <c r="AQ51" s="46"/>
      <c r="AR51" s="46"/>
      <c r="AS51" s="46"/>
      <c r="AT51" s="47"/>
      <c r="AU51" s="199" t="s">
        <v>421</v>
      </c>
      <c r="AV51" s="46"/>
      <c r="AW51" s="47"/>
      <c r="AX51" s="91"/>
      <c r="AY51" s="46"/>
      <c r="AZ51" s="47"/>
      <c r="BA51" s="200">
        <f>vlookup(AU51,$CZ$155:$DI$186,3,false)+vlookup(AF51,$CZ$155:$DI$186,3,false)+vlookup(AF51,$CZ$155:$DI$186,9,false)+AX51+1</f>
        <v>3</v>
      </c>
      <c r="BB51" s="46"/>
      <c r="BC51" s="47"/>
      <c r="BD51" s="200">
        <f>vlookup(AU51,$CZ$155:$DI$186,3,false)+vlookup(AF51,$CZ$155:$DI$186,3,false)+vlookup(AF51,$CZ$155:$DI$186,9,false)+AX51</f>
        <v>2</v>
      </c>
      <c r="BE51" s="46"/>
      <c r="BF51" s="47"/>
      <c r="BG51" s="200">
        <f>vlookup(AU51,$CZ$155:$DI$186,5,false)+vlookup(AF51,$CZ$155:$DI$186,5,false)</f>
        <v>-2</v>
      </c>
      <c r="BH51" s="47"/>
      <c r="BI51" s="70"/>
      <c r="BJ51" s="58"/>
      <c r="BK51" s="94"/>
      <c r="BL51" s="46"/>
      <c r="BM51" s="47"/>
      <c r="BN51" s="268" t="s">
        <v>591</v>
      </c>
      <c r="BO51" s="46"/>
      <c r="BP51" s="47"/>
      <c r="BQ51" s="260" t="s">
        <v>580</v>
      </c>
      <c r="BR51" s="46"/>
      <c r="BS51" s="47"/>
      <c r="BT51" s="70"/>
      <c r="BU51" s="57"/>
      <c r="BV51" s="57"/>
      <c r="BW51" s="58"/>
      <c r="BX51" s="70"/>
      <c r="BY51" s="57"/>
      <c r="BZ51" s="57"/>
      <c r="CA51" s="58"/>
      <c r="CB51" s="59"/>
      <c r="DJ51" s="60"/>
      <c r="DK51" s="53"/>
      <c r="DL51" s="43"/>
      <c r="DM51" s="43"/>
      <c r="DN51" s="43"/>
      <c r="DO51" s="43"/>
      <c r="DP51" s="43"/>
      <c r="DQ51" s="43"/>
      <c r="DR51" s="43"/>
      <c r="DS51" s="43"/>
      <c r="DT51" s="43"/>
      <c r="DU51" s="43"/>
      <c r="DV51" s="43"/>
      <c r="DW51" s="43"/>
      <c r="DX51" s="43"/>
      <c r="DY51" s="43"/>
      <c r="DZ51" s="43"/>
      <c r="EA51" s="43"/>
      <c r="EB51" s="43"/>
      <c r="EC51" s="43"/>
      <c r="ED51" s="43"/>
      <c r="EE51" s="43"/>
      <c r="EF51" s="43"/>
      <c r="EG51" s="43"/>
      <c r="EH51" s="43"/>
      <c r="EI51" s="43"/>
      <c r="EJ51" s="43"/>
      <c r="EK51" s="43"/>
      <c r="EL51" s="43"/>
      <c r="EM51" s="43"/>
      <c r="EN51" s="43"/>
      <c r="EO51" s="43"/>
      <c r="EP51" s="43"/>
      <c r="EQ51" s="43"/>
      <c r="ER51" s="43"/>
      <c r="ES51" s="43"/>
      <c r="ET51" s="43"/>
      <c r="EU51" s="43"/>
      <c r="EV51" s="43"/>
      <c r="EW51" s="43"/>
      <c r="EX51" s="43"/>
      <c r="EY51" s="43"/>
      <c r="EZ51" s="43"/>
      <c r="FA51" s="43"/>
      <c r="FB51" s="43"/>
      <c r="FC51" s="43"/>
      <c r="FD51" s="43"/>
      <c r="FE51" s="43"/>
      <c r="FF51" s="43"/>
      <c r="FG51" s="43"/>
      <c r="FH51" s="43"/>
      <c r="FI51" s="43"/>
      <c r="FJ51" s="43"/>
      <c r="FK51" s="43"/>
      <c r="FL51" s="43"/>
      <c r="FM51" s="43"/>
      <c r="FN51" s="43"/>
      <c r="FO51" s="43"/>
      <c r="FP51" s="43"/>
      <c r="FQ51" s="43"/>
      <c r="FR51" s="43"/>
      <c r="FS51" s="43"/>
      <c r="FT51" s="43"/>
      <c r="FU51" s="43"/>
      <c r="FV51" s="43"/>
      <c r="FW51" s="43"/>
      <c r="FX51" s="43"/>
      <c r="FY51" s="43"/>
      <c r="FZ51" s="43"/>
      <c r="GA51" s="43"/>
      <c r="GB51" s="43"/>
      <c r="GC51" s="43"/>
      <c r="GD51" s="43"/>
      <c r="GE51" s="43"/>
      <c r="GF51" s="43"/>
      <c r="GG51" s="43"/>
      <c r="GH51" s="43"/>
      <c r="GI51" s="43"/>
      <c r="GJ51" s="43"/>
      <c r="GK51" s="43"/>
      <c r="GL51" s="43"/>
      <c r="GM51" s="43"/>
      <c r="GN51" s="43"/>
      <c r="GO51" s="43"/>
      <c r="GP51" s="43"/>
      <c r="GQ51" s="43"/>
      <c r="GR51" s="43"/>
      <c r="GS51" s="43"/>
      <c r="GT51" s="43"/>
      <c r="GU51" s="43"/>
      <c r="GV51" s="43"/>
      <c r="GW51" s="43"/>
    </row>
    <row r="52" ht="15.0" customHeight="1">
      <c r="A52" s="44"/>
      <c r="B52" s="129"/>
      <c r="C52" s="132"/>
      <c r="D52" s="234"/>
      <c r="E52" s="46"/>
      <c r="F52" s="47"/>
      <c r="G52" s="232">
        <v>0.0</v>
      </c>
      <c r="H52" s="47"/>
      <c r="I52" s="204"/>
      <c r="J52" s="47"/>
      <c r="K52" s="130"/>
      <c r="L52" s="47"/>
      <c r="M52" s="205"/>
      <c r="N52" s="47"/>
      <c r="O52" s="195">
        <f t="shared" si="23"/>
        <v>0</v>
      </c>
      <c r="P52" s="47"/>
      <c r="Q52" s="155"/>
      <c r="R52" s="47"/>
      <c r="S52" s="195">
        <f t="shared" si="24"/>
        <v>-2</v>
      </c>
      <c r="T52" s="47"/>
      <c r="U52" s="206"/>
      <c r="V52" s="46"/>
      <c r="W52" s="46"/>
      <c r="X52" s="46"/>
      <c r="Y52" s="46"/>
      <c r="Z52" s="46"/>
      <c r="AA52" s="46"/>
      <c r="AB52" s="46"/>
      <c r="AC52" s="46"/>
      <c r="AD52" s="47"/>
      <c r="AE52" s="129"/>
      <c r="AF52" s="70"/>
      <c r="AG52" s="57"/>
      <c r="AH52" s="58"/>
      <c r="AI52" s="198" t="s">
        <v>592</v>
      </c>
      <c r="AJ52" s="46"/>
      <c r="AK52" s="46"/>
      <c r="AL52" s="46"/>
      <c r="AM52" s="46"/>
      <c r="AN52" s="46"/>
      <c r="AO52" s="46"/>
      <c r="AP52" s="46"/>
      <c r="AQ52" s="46"/>
      <c r="AR52" s="46"/>
      <c r="AS52" s="46"/>
      <c r="AT52" s="47"/>
      <c r="AU52" s="199" t="s">
        <v>446</v>
      </c>
      <c r="AV52" s="46"/>
      <c r="AW52" s="47"/>
      <c r="AX52" s="91"/>
      <c r="AY52" s="46"/>
      <c r="AZ52" s="47"/>
      <c r="BA52" s="200">
        <f>vlookup(AU52,$CZ$155:$DI$186,3,false)+vlookup(AF51,$CZ$155:$DI$186,3,false)+vlookup(AF51,$CZ$155:$DI$186,9,false)+AX52+1</f>
        <v>3</v>
      </c>
      <c r="BB52" s="46"/>
      <c r="BC52" s="47"/>
      <c r="BD52" s="200">
        <f>vlookup(AU52,$CZ$155:$DI$186,3,false)+vlookup(AF51,$CZ$155:$DI$186,3,false)+vlookup(AF51,$CZ$155:$DI$186,9,false)+AX52</f>
        <v>2</v>
      </c>
      <c r="BE52" s="46"/>
      <c r="BF52" s="47"/>
      <c r="BG52" s="200">
        <f>vlookup(AU52,$CZ$155:$DI$186,5,false)+vlookup(AF51,$CZ$155:$DI$186,5,false)</f>
        <v>-2</v>
      </c>
      <c r="BH52" s="47"/>
      <c r="BI52" s="257" t="s">
        <v>593</v>
      </c>
      <c r="BJ52" s="47"/>
      <c r="BK52" s="258" t="s">
        <v>578</v>
      </c>
      <c r="BL52" s="46"/>
      <c r="BM52" s="47"/>
      <c r="BN52" s="259" t="s">
        <v>579</v>
      </c>
      <c r="BO52" s="46"/>
      <c r="BP52" s="47"/>
      <c r="BQ52" s="260" t="s">
        <v>580</v>
      </c>
      <c r="BR52" s="47"/>
      <c r="BS52" s="260" t="s">
        <v>4</v>
      </c>
      <c r="BT52" s="46"/>
      <c r="BU52" s="46"/>
      <c r="BV52" s="46"/>
      <c r="BW52" s="47"/>
      <c r="BX52" s="261" t="s">
        <v>581</v>
      </c>
      <c r="BY52" s="46"/>
      <c r="BZ52" s="46"/>
      <c r="CA52" s="47"/>
      <c r="CB52" s="104"/>
      <c r="CK52" s="43"/>
      <c r="CT52" s="43"/>
      <c r="DC52" s="43"/>
      <c r="DJ52" s="60"/>
      <c r="DK52" s="53"/>
      <c r="DL52" s="43"/>
      <c r="DM52" s="43"/>
      <c r="DN52" s="43"/>
      <c r="DO52" s="43"/>
      <c r="DP52" s="43"/>
      <c r="DQ52" s="43"/>
      <c r="DR52" s="43"/>
      <c r="DS52" s="43"/>
      <c r="DT52" s="43"/>
      <c r="DU52" s="43"/>
      <c r="DV52" s="43"/>
      <c r="DW52" s="43"/>
      <c r="DX52" s="43"/>
      <c r="DY52" s="43"/>
      <c r="DZ52" s="43"/>
      <c r="EA52" s="43"/>
      <c r="EB52" s="43"/>
      <c r="EC52" s="43"/>
      <c r="ED52" s="43"/>
      <c r="EE52" s="43"/>
      <c r="EF52" s="43"/>
      <c r="EG52" s="43"/>
      <c r="EH52" s="43"/>
      <c r="EI52" s="43"/>
      <c r="EJ52" s="43"/>
      <c r="EK52" s="43"/>
      <c r="EL52" s="43"/>
      <c r="EM52" s="43"/>
      <c r="EN52" s="43"/>
      <c r="EO52" s="43"/>
      <c r="EP52" s="43"/>
      <c r="EQ52" s="43"/>
      <c r="ER52" s="43"/>
      <c r="ES52" s="43"/>
      <c r="ET52" s="43"/>
      <c r="EU52" s="43"/>
      <c r="EV52" s="43"/>
      <c r="EW52" s="43"/>
      <c r="EX52" s="43"/>
      <c r="EY52" s="43"/>
      <c r="EZ52" s="43"/>
      <c r="FA52" s="43"/>
      <c r="FB52" s="43"/>
      <c r="FC52" s="43"/>
      <c r="FD52" s="43"/>
      <c r="FE52" s="43"/>
      <c r="FF52" s="43"/>
      <c r="FG52" s="43"/>
      <c r="FH52" s="43"/>
      <c r="FI52" s="43"/>
      <c r="FJ52" s="43"/>
      <c r="FK52" s="43"/>
      <c r="FL52" s="43"/>
      <c r="FM52" s="43"/>
      <c r="FN52" s="43"/>
      <c r="FO52" s="43"/>
      <c r="FP52" s="43"/>
      <c r="FQ52" s="43"/>
      <c r="FR52" s="43"/>
      <c r="FS52" s="43"/>
      <c r="FT52" s="43"/>
      <c r="FU52" s="43"/>
      <c r="FV52" s="43"/>
      <c r="FW52" s="43"/>
      <c r="FX52" s="43"/>
      <c r="FY52" s="43"/>
      <c r="FZ52" s="43"/>
      <c r="GA52" s="43"/>
      <c r="GB52" s="43"/>
      <c r="GC52" s="43"/>
      <c r="GD52" s="43"/>
      <c r="GE52" s="43"/>
      <c r="GF52" s="43"/>
      <c r="GG52" s="43"/>
      <c r="GH52" s="43"/>
      <c r="GI52" s="43"/>
      <c r="GJ52" s="43"/>
      <c r="GK52" s="43"/>
      <c r="GL52" s="43"/>
      <c r="GM52" s="43"/>
      <c r="GN52" s="43"/>
      <c r="GO52" s="43"/>
      <c r="GP52" s="43"/>
      <c r="GQ52" s="43"/>
      <c r="GR52" s="43"/>
      <c r="GS52" s="43"/>
      <c r="GT52" s="43"/>
      <c r="GU52" s="43"/>
      <c r="GV52" s="43"/>
      <c r="GW52" s="43"/>
    </row>
    <row r="53" ht="15.0" customHeight="1">
      <c r="A53" s="44"/>
      <c r="B53" s="129"/>
      <c r="C53" s="217" t="s">
        <v>589</v>
      </c>
      <c r="D53" s="46"/>
      <c r="E53" s="46"/>
      <c r="F53" s="47"/>
      <c r="G53" s="232">
        <v>0.0</v>
      </c>
      <c r="H53" s="47"/>
      <c r="I53" s="204"/>
      <c r="J53" s="47"/>
      <c r="K53" s="124"/>
      <c r="L53" s="47"/>
      <c r="M53" s="205"/>
      <c r="N53" s="47"/>
      <c r="O53" s="195">
        <f t="shared" si="23"/>
        <v>0</v>
      </c>
      <c r="P53" s="47"/>
      <c r="Q53" s="155"/>
      <c r="R53" s="47"/>
      <c r="S53" s="195">
        <f t="shared" si="24"/>
        <v>-2</v>
      </c>
      <c r="T53" s="47"/>
      <c r="U53" s="206"/>
      <c r="V53" s="46"/>
      <c r="W53" s="46"/>
      <c r="X53" s="46"/>
      <c r="Y53" s="46"/>
      <c r="Z53" s="46"/>
      <c r="AA53" s="46"/>
      <c r="AB53" s="46"/>
      <c r="AC53" s="46"/>
      <c r="AD53" s="47"/>
      <c r="AE53" s="129"/>
      <c r="AF53" s="217" t="s">
        <v>596</v>
      </c>
      <c r="AG53" s="46"/>
      <c r="AH53" s="47"/>
      <c r="AI53" s="198" t="s">
        <v>597</v>
      </c>
      <c r="AJ53" s="46"/>
      <c r="AK53" s="46"/>
      <c r="AL53" s="47"/>
      <c r="AM53" s="198" t="s">
        <v>598</v>
      </c>
      <c r="AN53" s="46"/>
      <c r="AO53" s="46"/>
      <c r="AP53" s="47"/>
      <c r="AQ53" s="198" t="s">
        <v>599</v>
      </c>
      <c r="AR53" s="46"/>
      <c r="AS53" s="46"/>
      <c r="AT53" s="47"/>
      <c r="AU53" s="199" t="s">
        <v>446</v>
      </c>
      <c r="AV53" s="46"/>
      <c r="AW53" s="47"/>
      <c r="AX53" s="91"/>
      <c r="AY53" s="46"/>
      <c r="AZ53" s="47"/>
      <c r="BA53" s="200">
        <f t="shared" ref="BA53:BA54" si="28">vlookup(AU53,$CZ$155:$DI$186,3,false)+vlookup(AF53,$CZ$155:$DI$186,3,false)+vlookup(AF53,$CZ$155:$DI$186,9,false)+AX53+1</f>
        <v>3</v>
      </c>
      <c r="BB53" s="46"/>
      <c r="BC53" s="47"/>
      <c r="BD53" s="200">
        <f t="shared" ref="BD53:BD54" si="29">vlookup(AU53,$CZ$155:$DI$186,3,false)+vlookup(AF53,$CZ$155:$DI$186,3,false)+vlookup(AF53,$CZ$155:$DI$186,9,false)+AX53</f>
        <v>2</v>
      </c>
      <c r="BE53" s="46"/>
      <c r="BF53" s="47"/>
      <c r="BG53" s="200">
        <f t="shared" ref="BG53:BG54" si="30">vlookup(AU53,$CZ$155:$DI$186,5,false)+vlookup(AF53,$CZ$155:$DI$186,5,false)</f>
        <v>-2</v>
      </c>
      <c r="BH53" s="47"/>
      <c r="BI53" s="257" t="s">
        <v>600</v>
      </c>
      <c r="BJ53" s="47"/>
      <c r="BK53" s="259" t="s">
        <v>579</v>
      </c>
      <c r="BL53" s="46"/>
      <c r="BM53" s="46"/>
      <c r="BN53" s="46"/>
      <c r="BO53" s="46"/>
      <c r="BP53" s="47"/>
      <c r="BQ53" s="260" t="s">
        <v>4</v>
      </c>
      <c r="BR53" s="46"/>
      <c r="BS53" s="46"/>
      <c r="BT53" s="46"/>
      <c r="BU53" s="46"/>
      <c r="BV53" s="46"/>
      <c r="BW53" s="47"/>
      <c r="BX53" s="261" t="s">
        <v>581</v>
      </c>
      <c r="BY53" s="46"/>
      <c r="BZ53" s="46"/>
      <c r="CA53" s="47"/>
      <c r="CB53" s="59"/>
      <c r="DJ53" s="60"/>
      <c r="DK53" s="53"/>
      <c r="DL53" s="128"/>
      <c r="DM53" s="128"/>
      <c r="DN53" s="43"/>
      <c r="DO53" s="43"/>
      <c r="DP53" s="43"/>
      <c r="DQ53" s="43"/>
      <c r="DR53" s="43"/>
      <c r="DS53" s="43"/>
      <c r="DT53" s="43"/>
      <c r="DU53" s="43"/>
      <c r="DV53" s="43"/>
      <c r="DW53" s="43"/>
      <c r="DX53" s="43"/>
      <c r="DY53" s="43"/>
      <c r="DZ53" s="43"/>
      <c r="EA53" s="43"/>
      <c r="EB53" s="43"/>
      <c r="EC53" s="43"/>
      <c r="ED53" s="43"/>
      <c r="EE53" s="43"/>
      <c r="EF53" s="43"/>
      <c r="EG53" s="43"/>
      <c r="EH53" s="43"/>
      <c r="EI53" s="43"/>
      <c r="EJ53" s="43"/>
      <c r="EK53" s="43"/>
      <c r="EL53" s="43"/>
      <c r="EM53" s="43"/>
      <c r="EN53" s="43"/>
      <c r="EO53" s="43"/>
      <c r="EP53" s="43"/>
      <c r="EQ53" s="43"/>
      <c r="ER53" s="43"/>
      <c r="ES53" s="43"/>
      <c r="ET53" s="43"/>
      <c r="EU53" s="43"/>
      <c r="EV53" s="43"/>
      <c r="EW53" s="43"/>
      <c r="EX53" s="43"/>
      <c r="EY53" s="43"/>
      <c r="EZ53" s="43"/>
      <c r="FA53" s="43"/>
      <c r="FB53" s="43"/>
      <c r="FC53" s="43"/>
      <c r="FD53" s="43"/>
      <c r="FE53" s="43"/>
      <c r="FF53" s="43"/>
      <c r="FG53" s="43"/>
      <c r="FH53" s="43"/>
      <c r="FI53" s="43"/>
      <c r="FJ53" s="43"/>
      <c r="FK53" s="43"/>
      <c r="FL53" s="43"/>
      <c r="FM53" s="43"/>
      <c r="FN53" s="43"/>
      <c r="FO53" s="43"/>
      <c r="FP53" s="43"/>
      <c r="FQ53" s="43"/>
      <c r="FR53" s="43"/>
      <c r="FS53" s="43"/>
      <c r="FT53" s="43"/>
      <c r="FU53" s="43"/>
      <c r="FV53" s="43"/>
      <c r="FW53" s="43"/>
      <c r="FX53" s="43"/>
      <c r="FY53" s="43"/>
      <c r="FZ53" s="43"/>
      <c r="GA53" s="43"/>
      <c r="GB53" s="43"/>
      <c r="GC53" s="43"/>
      <c r="GD53" s="43"/>
      <c r="GE53" s="43"/>
      <c r="GF53" s="43"/>
      <c r="GG53" s="43"/>
      <c r="GH53" s="43"/>
      <c r="GI53" s="43"/>
      <c r="GJ53" s="43"/>
      <c r="GK53" s="43"/>
      <c r="GL53" s="43"/>
      <c r="GM53" s="43"/>
      <c r="GN53" s="43"/>
      <c r="GO53" s="43"/>
      <c r="GP53" s="43"/>
      <c r="GQ53" s="43"/>
      <c r="GR53" s="43"/>
      <c r="GS53" s="43"/>
      <c r="GT53" s="43"/>
      <c r="GU53" s="43"/>
      <c r="GV53" s="43"/>
      <c r="GW53" s="43"/>
    </row>
    <row r="54" ht="15.0" customHeight="1">
      <c r="A54" s="44"/>
      <c r="B54" s="129"/>
      <c r="C54" s="119" t="s">
        <v>596</v>
      </c>
      <c r="D54" s="46"/>
      <c r="E54" s="46"/>
      <c r="F54" s="47"/>
      <c r="G54" s="192">
        <v>0.0</v>
      </c>
      <c r="H54" s="47"/>
      <c r="I54" s="204"/>
      <c r="J54" s="47"/>
      <c r="K54" s="130"/>
      <c r="L54" s="47"/>
      <c r="M54" s="205"/>
      <c r="N54" s="47"/>
      <c r="O54" s="195">
        <f t="shared" si="23"/>
        <v>0</v>
      </c>
      <c r="P54" s="47"/>
      <c r="Q54" s="155"/>
      <c r="R54" s="47"/>
      <c r="S54" s="195">
        <f t="shared" si="24"/>
        <v>-2</v>
      </c>
      <c r="T54" s="47"/>
      <c r="U54" s="196"/>
      <c r="V54" s="46"/>
      <c r="W54" s="46"/>
      <c r="X54" s="46"/>
      <c r="Y54" s="46"/>
      <c r="Z54" s="46"/>
      <c r="AA54" s="46"/>
      <c r="AB54" s="46"/>
      <c r="AC54" s="46"/>
      <c r="AD54" s="47"/>
      <c r="AE54" s="129"/>
      <c r="AF54" s="218" t="s">
        <v>601</v>
      </c>
      <c r="AG54" s="49"/>
      <c r="AH54" s="50"/>
      <c r="AI54" s="198" t="s">
        <v>602</v>
      </c>
      <c r="AJ54" s="46"/>
      <c r="AK54" s="46"/>
      <c r="AL54" s="46"/>
      <c r="AM54" s="46"/>
      <c r="AN54" s="46"/>
      <c r="AO54" s="46"/>
      <c r="AP54" s="46"/>
      <c r="AQ54" s="46"/>
      <c r="AR54" s="46"/>
      <c r="AS54" s="46"/>
      <c r="AT54" s="47"/>
      <c r="AU54" s="199" t="s">
        <v>446</v>
      </c>
      <c r="AV54" s="46"/>
      <c r="AW54" s="47"/>
      <c r="AX54" s="91"/>
      <c r="AY54" s="46"/>
      <c r="AZ54" s="47"/>
      <c r="BA54" s="200">
        <f t="shared" si="28"/>
        <v>3</v>
      </c>
      <c r="BB54" s="46"/>
      <c r="BC54" s="47"/>
      <c r="BD54" s="200">
        <f t="shared" si="29"/>
        <v>2</v>
      </c>
      <c r="BE54" s="46"/>
      <c r="BF54" s="47"/>
      <c r="BG54" s="200">
        <f t="shared" si="30"/>
        <v>-2</v>
      </c>
      <c r="BH54" s="47"/>
      <c r="BI54" s="269" t="s">
        <v>603</v>
      </c>
      <c r="BJ54" s="270" t="s">
        <v>577</v>
      </c>
      <c r="BK54" s="49"/>
      <c r="BL54" s="49"/>
      <c r="BM54" s="50"/>
      <c r="BN54" s="271" t="s">
        <v>604</v>
      </c>
      <c r="BO54" s="50"/>
      <c r="BP54" s="564" t="b">
        <v>0</v>
      </c>
      <c r="BQ54" s="50"/>
      <c r="BR54" s="273" t="s">
        <v>605</v>
      </c>
      <c r="BS54" s="49"/>
      <c r="BT54" s="50"/>
      <c r="BU54" s="274" t="str">
        <f>"+"&amp;min(X21,X22)</f>
        <v>+0</v>
      </c>
      <c r="BV54" s="50"/>
      <c r="BW54" s="271" t="s">
        <v>606</v>
      </c>
      <c r="BX54" s="49"/>
      <c r="BY54" s="50"/>
      <c r="BZ54" s="274" t="str">
        <f>"+"&amp;if(BJ54="一階",min(V21,V22),max(V21,V22))</f>
        <v>+2</v>
      </c>
      <c r="CA54" s="50"/>
      <c r="CB54" s="102"/>
      <c r="CK54" s="43"/>
      <c r="CT54" s="43"/>
      <c r="DC54" s="43"/>
      <c r="DJ54" s="60"/>
      <c r="DK54" s="53"/>
      <c r="DL54" s="128"/>
      <c r="DM54" s="128"/>
      <c r="DN54" s="43"/>
      <c r="DO54" s="43"/>
      <c r="DP54" s="43"/>
      <c r="DQ54" s="43"/>
      <c r="DR54" s="43"/>
      <c r="DS54" s="43"/>
      <c r="DT54" s="43"/>
      <c r="DU54" s="43"/>
      <c r="DV54" s="43"/>
      <c r="DW54" s="43"/>
      <c r="DX54" s="43"/>
      <c r="DY54" s="43"/>
      <c r="DZ54" s="43"/>
      <c r="EA54" s="43"/>
      <c r="EB54" s="43"/>
      <c r="EC54" s="43"/>
      <c r="ED54" s="43"/>
      <c r="EE54" s="43"/>
      <c r="EF54" s="43"/>
      <c r="EG54" s="43"/>
      <c r="EH54" s="43"/>
      <c r="EI54" s="43"/>
      <c r="EJ54" s="43"/>
      <c r="EK54" s="43"/>
      <c r="EL54" s="43"/>
      <c r="EM54" s="43"/>
      <c r="EN54" s="43"/>
      <c r="EO54" s="43"/>
      <c r="EP54" s="43"/>
      <c r="EQ54" s="43"/>
      <c r="ER54" s="43"/>
      <c r="ES54" s="43"/>
      <c r="ET54" s="43"/>
      <c r="EU54" s="43"/>
      <c r="EV54" s="43"/>
      <c r="EW54" s="43"/>
      <c r="EX54" s="43"/>
      <c r="EY54" s="43"/>
      <c r="EZ54" s="43"/>
      <c r="FA54" s="43"/>
      <c r="FB54" s="43"/>
      <c r="FC54" s="43"/>
      <c r="FD54" s="43"/>
      <c r="FE54" s="43"/>
      <c r="FF54" s="43"/>
      <c r="FG54" s="43"/>
      <c r="FH54" s="43"/>
      <c r="FI54" s="43"/>
      <c r="FJ54" s="43"/>
      <c r="FK54" s="43"/>
      <c r="FL54" s="43"/>
      <c r="FM54" s="43"/>
      <c r="FN54" s="43"/>
      <c r="FO54" s="43"/>
      <c r="FP54" s="43"/>
      <c r="FQ54" s="43"/>
      <c r="FR54" s="43"/>
      <c r="FS54" s="43"/>
      <c r="FT54" s="43"/>
      <c r="FU54" s="43"/>
      <c r="FV54" s="43"/>
      <c r="FW54" s="43"/>
      <c r="FX54" s="43"/>
      <c r="FY54" s="43"/>
      <c r="FZ54" s="43"/>
      <c r="GA54" s="43"/>
      <c r="GB54" s="43"/>
      <c r="GC54" s="43"/>
      <c r="GD54" s="43"/>
      <c r="GE54" s="43"/>
      <c r="GF54" s="43"/>
      <c r="GG54" s="43"/>
      <c r="GH54" s="43"/>
      <c r="GI54" s="43"/>
      <c r="GJ54" s="43"/>
      <c r="GK54" s="43"/>
      <c r="GL54" s="43"/>
      <c r="GM54" s="43"/>
      <c r="GN54" s="43"/>
      <c r="GO54" s="43"/>
      <c r="GP54" s="43"/>
      <c r="GQ54" s="43"/>
      <c r="GR54" s="43"/>
      <c r="GS54" s="43"/>
      <c r="GT54" s="43"/>
      <c r="GU54" s="43"/>
      <c r="GV54" s="43"/>
      <c r="GW54" s="43"/>
    </row>
    <row r="55" ht="15.0" customHeight="1">
      <c r="A55" s="44"/>
      <c r="B55" s="132"/>
      <c r="C55" s="119" t="s">
        <v>601</v>
      </c>
      <c r="D55" s="46"/>
      <c r="E55" s="46"/>
      <c r="F55" s="47"/>
      <c r="G55" s="192">
        <v>0.0</v>
      </c>
      <c r="H55" s="47"/>
      <c r="I55" s="204"/>
      <c r="J55" s="47"/>
      <c r="K55" s="130"/>
      <c r="L55" s="47"/>
      <c r="M55" s="205"/>
      <c r="N55" s="47"/>
      <c r="O55" s="195">
        <f t="shared" si="23"/>
        <v>0</v>
      </c>
      <c r="P55" s="47"/>
      <c r="Q55" s="155"/>
      <c r="R55" s="47"/>
      <c r="S55" s="195">
        <f t="shared" si="24"/>
        <v>-2</v>
      </c>
      <c r="T55" s="47"/>
      <c r="U55" s="206"/>
      <c r="V55" s="46"/>
      <c r="W55" s="46"/>
      <c r="X55" s="46"/>
      <c r="Y55" s="46"/>
      <c r="Z55" s="46"/>
      <c r="AA55" s="46"/>
      <c r="AB55" s="46"/>
      <c r="AC55" s="46"/>
      <c r="AD55" s="47"/>
      <c r="AE55" s="132"/>
      <c r="AF55" s="70"/>
      <c r="AG55" s="57"/>
      <c r="AH55" s="58"/>
      <c r="AI55" s="198" t="s">
        <v>607</v>
      </c>
      <c r="AJ55" s="46"/>
      <c r="AK55" s="46"/>
      <c r="AL55" s="46"/>
      <c r="AM55" s="46"/>
      <c r="AN55" s="47"/>
      <c r="AO55" s="198" t="s">
        <v>608</v>
      </c>
      <c r="AP55" s="46"/>
      <c r="AQ55" s="46"/>
      <c r="AR55" s="46"/>
      <c r="AS55" s="46"/>
      <c r="AT55" s="47"/>
      <c r="AU55" s="199" t="str">
        <f>if(V21&gt;=V25,C21,C25)</f>
        <v>智力</v>
      </c>
      <c r="AV55" s="46"/>
      <c r="AW55" s="47"/>
      <c r="AX55" s="91"/>
      <c r="AY55" s="46"/>
      <c r="AZ55" s="47"/>
      <c r="BA55" s="200">
        <f>vlookup(AU55,$CZ$155:$DI$186,3,false)+vlookup(AF54,$CZ$155:$DI$186,3,false)+vlookup(AF54,$CZ$155:$DI$186,9,false)+AX55+1</f>
        <v>3</v>
      </c>
      <c r="BB55" s="46"/>
      <c r="BC55" s="47"/>
      <c r="BD55" s="200">
        <f>vlookup(AU55,$CZ$155:$DI$186,3,false)+vlookup(AF54,$CZ$155:$DI$186,3,false)+vlookup(AF54,$CZ$155:$DI$186,9,false)+AX55</f>
        <v>2</v>
      </c>
      <c r="BE55" s="46"/>
      <c r="BF55" s="47"/>
      <c r="BG55" s="200">
        <f>vlookup(AU55,$CZ$155:$DI$186,5,false)+vlookup(AF54,$CZ$155:$DI$186,5,false)</f>
        <v>-2</v>
      </c>
      <c r="BH55" s="47"/>
      <c r="BI55" s="70"/>
      <c r="BJ55" s="70"/>
      <c r="BK55" s="57"/>
      <c r="BL55" s="57"/>
      <c r="BM55" s="58"/>
      <c r="BN55" s="70"/>
      <c r="BO55" s="58"/>
      <c r="BP55" s="70"/>
      <c r="BQ55" s="58"/>
      <c r="BR55" s="70"/>
      <c r="BS55" s="57"/>
      <c r="BT55" s="58"/>
      <c r="BU55" s="70"/>
      <c r="BV55" s="58"/>
      <c r="BW55" s="70"/>
      <c r="BX55" s="57"/>
      <c r="BY55" s="58"/>
      <c r="BZ55" s="70"/>
      <c r="CA55" s="58"/>
      <c r="CB55" s="70"/>
      <c r="CC55" s="57"/>
      <c r="CD55" s="57"/>
      <c r="CE55" s="57"/>
      <c r="CF55" s="57"/>
      <c r="CG55" s="57"/>
      <c r="CH55" s="57"/>
      <c r="CI55" s="57"/>
      <c r="CJ55" s="57"/>
      <c r="CK55" s="57"/>
      <c r="CL55" s="57"/>
      <c r="CM55" s="57"/>
      <c r="CN55" s="57"/>
      <c r="CO55" s="57"/>
      <c r="CP55" s="57"/>
      <c r="CQ55" s="57"/>
      <c r="CR55" s="57"/>
      <c r="CS55" s="57"/>
      <c r="CT55" s="57"/>
      <c r="CU55" s="57"/>
      <c r="CV55" s="57"/>
      <c r="CW55" s="57"/>
      <c r="CX55" s="57"/>
      <c r="CY55" s="57"/>
      <c r="CZ55" s="57"/>
      <c r="DA55" s="57"/>
      <c r="DB55" s="57"/>
      <c r="DC55" s="57"/>
      <c r="DD55" s="57"/>
      <c r="DE55" s="57"/>
      <c r="DF55" s="57"/>
      <c r="DG55" s="57"/>
      <c r="DH55" s="57"/>
      <c r="DI55" s="57"/>
      <c r="DJ55" s="58"/>
      <c r="DK55" s="53"/>
      <c r="DL55" s="128"/>
      <c r="DM55" s="128"/>
      <c r="DN55" s="43"/>
      <c r="DO55" s="43"/>
      <c r="DP55" s="43"/>
      <c r="DQ55" s="43"/>
      <c r="DR55" s="43"/>
      <c r="DS55" s="43"/>
      <c r="DT55" s="43"/>
      <c r="DU55" s="43"/>
      <c r="DV55" s="43"/>
      <c r="DW55" s="43"/>
      <c r="DX55" s="43"/>
      <c r="DY55" s="43"/>
      <c r="DZ55" s="43"/>
      <c r="EA55" s="43"/>
      <c r="EB55" s="43"/>
      <c r="EC55" s="43"/>
      <c r="ED55" s="43"/>
      <c r="EE55" s="43"/>
      <c r="EF55" s="43"/>
      <c r="EG55" s="43"/>
      <c r="EH55" s="43"/>
      <c r="EI55" s="43"/>
      <c r="EJ55" s="43"/>
      <c r="EK55" s="43"/>
      <c r="EL55" s="43"/>
      <c r="EM55" s="43"/>
      <c r="EN55" s="43"/>
      <c r="EO55" s="43"/>
      <c r="EP55" s="43"/>
      <c r="EQ55" s="43"/>
      <c r="ER55" s="43"/>
      <c r="ES55" s="43"/>
      <c r="ET55" s="43"/>
      <c r="EU55" s="43"/>
      <c r="EV55" s="43"/>
      <c r="EW55" s="43"/>
      <c r="EX55" s="43"/>
      <c r="EY55" s="43"/>
      <c r="EZ55" s="43"/>
      <c r="FA55" s="43"/>
      <c r="FB55" s="43"/>
      <c r="FC55" s="43"/>
      <c r="FD55" s="43"/>
      <c r="FE55" s="43"/>
      <c r="FF55" s="43"/>
      <c r="FG55" s="43"/>
      <c r="FH55" s="43"/>
      <c r="FI55" s="43"/>
      <c r="FJ55" s="43"/>
      <c r="FK55" s="43"/>
      <c r="FL55" s="43"/>
      <c r="FM55" s="43"/>
      <c r="FN55" s="43"/>
      <c r="FO55" s="43"/>
      <c r="FP55" s="43"/>
      <c r="FQ55" s="43"/>
      <c r="FR55" s="43"/>
      <c r="FS55" s="43"/>
      <c r="FT55" s="43"/>
      <c r="FU55" s="43"/>
      <c r="FV55" s="43"/>
      <c r="FW55" s="43"/>
      <c r="FX55" s="43"/>
      <c r="FY55" s="43"/>
      <c r="FZ55" s="43"/>
      <c r="GA55" s="43"/>
      <c r="GB55" s="43"/>
      <c r="GC55" s="43"/>
      <c r="GD55" s="43"/>
      <c r="GE55" s="43"/>
      <c r="GF55" s="43"/>
      <c r="GG55" s="43"/>
      <c r="GH55" s="43"/>
      <c r="GI55" s="43"/>
      <c r="GJ55" s="43"/>
      <c r="GK55" s="43"/>
      <c r="GL55" s="43"/>
      <c r="GM55" s="43"/>
      <c r="GN55" s="43"/>
      <c r="GO55" s="43"/>
      <c r="GP55" s="43"/>
      <c r="GQ55" s="43"/>
      <c r="GR55" s="43"/>
      <c r="GS55" s="43"/>
      <c r="GT55" s="43"/>
      <c r="GU55" s="43"/>
      <c r="GV55" s="43"/>
      <c r="GW55" s="43"/>
    </row>
    <row r="56" ht="15.0" customHeight="1">
      <c r="A56" s="35"/>
      <c r="B56" s="36"/>
      <c r="C56" s="36"/>
      <c r="D56" s="36"/>
      <c r="E56" s="36"/>
      <c r="F56" s="37"/>
      <c r="G56" s="38"/>
      <c r="H56" s="38"/>
      <c r="I56" s="38"/>
      <c r="J56" s="38"/>
      <c r="K56" s="38"/>
      <c r="L56" s="38"/>
      <c r="M56" s="36"/>
      <c r="N56" s="36"/>
      <c r="O56" s="36"/>
      <c r="P56" s="36"/>
      <c r="Q56" s="36"/>
      <c r="R56" s="36"/>
      <c r="S56" s="36"/>
      <c r="T56" s="36"/>
      <c r="U56" s="36"/>
      <c r="V56" s="39"/>
      <c r="W56" s="39"/>
      <c r="X56" s="39"/>
      <c r="Y56" s="39"/>
      <c r="Z56" s="36"/>
      <c r="AA56" s="36"/>
      <c r="AB56" s="36"/>
      <c r="AC56" s="36"/>
      <c r="AD56" s="36"/>
      <c r="AE56" s="36"/>
      <c r="AF56" s="36"/>
      <c r="AG56" s="36"/>
      <c r="AH56" s="36"/>
      <c r="AI56" s="36"/>
      <c r="AJ56" s="36"/>
      <c r="AK56" s="36"/>
      <c r="AL56" s="36"/>
      <c r="AM56" s="36"/>
      <c r="AN56" s="36"/>
      <c r="AO56" s="36"/>
      <c r="AP56" s="36"/>
      <c r="AQ56" s="36"/>
      <c r="AR56" s="36"/>
      <c r="AS56" s="36"/>
      <c r="AT56" s="36"/>
      <c r="AU56" s="36"/>
      <c r="AV56" s="36"/>
      <c r="AW56" s="36"/>
      <c r="AX56" s="36"/>
      <c r="AY56" s="36"/>
      <c r="AZ56" s="36"/>
      <c r="BA56" s="36"/>
      <c r="BB56" s="36"/>
      <c r="BC56" s="36"/>
      <c r="BD56" s="275"/>
      <c r="BF56" s="276"/>
      <c r="BG56" s="36"/>
      <c r="BH56" s="36"/>
      <c r="BI56" s="36"/>
      <c r="BJ56" s="36"/>
      <c r="BK56" s="36"/>
      <c r="BL56" s="36"/>
      <c r="BM56" s="36"/>
      <c r="BN56" s="36"/>
      <c r="BO56" s="36"/>
      <c r="BP56" s="36"/>
      <c r="BQ56" s="36"/>
      <c r="BR56" s="36"/>
      <c r="BS56" s="36"/>
      <c r="BT56" s="36"/>
      <c r="BU56" s="36"/>
      <c r="BV56" s="36"/>
      <c r="BW56" s="36"/>
      <c r="BX56" s="36"/>
      <c r="BY56" s="36"/>
      <c r="BZ56" s="36"/>
      <c r="CA56" s="36"/>
      <c r="CB56" s="36"/>
      <c r="CC56" s="36"/>
      <c r="CD56" s="36"/>
      <c r="CE56" s="36"/>
      <c r="CF56" s="36"/>
      <c r="CG56" s="36"/>
      <c r="CH56" s="36"/>
      <c r="CI56" s="36"/>
      <c r="CJ56" s="36"/>
      <c r="CK56" s="36"/>
      <c r="CL56" s="36"/>
      <c r="CM56" s="36"/>
      <c r="CN56" s="43"/>
      <c r="CO56" s="36"/>
      <c r="CP56" s="36"/>
      <c r="CQ56" s="36"/>
      <c r="CR56" s="36"/>
      <c r="CS56" s="36"/>
      <c r="CT56" s="36"/>
      <c r="CU56" s="36"/>
      <c r="CV56" s="36"/>
      <c r="CW56" s="36"/>
      <c r="CX56" s="36"/>
      <c r="CY56" s="36"/>
      <c r="CZ56" s="36"/>
      <c r="DA56" s="36"/>
      <c r="DB56" s="36"/>
      <c r="DC56" s="36"/>
      <c r="DD56" s="43"/>
      <c r="DE56" s="36"/>
      <c r="DF56" s="36"/>
      <c r="DG56" s="36"/>
      <c r="DH56" s="36"/>
      <c r="DI56" s="36"/>
      <c r="DJ56" s="36"/>
      <c r="DK56" s="53"/>
      <c r="DL56" s="43"/>
      <c r="DM56" s="43"/>
      <c r="DN56" s="43"/>
      <c r="DO56" s="43"/>
      <c r="DP56" s="43"/>
      <c r="DQ56" s="43"/>
      <c r="DR56" s="43"/>
      <c r="DS56" s="43"/>
      <c r="DT56" s="43"/>
      <c r="DU56" s="43"/>
      <c r="DV56" s="43"/>
      <c r="DW56" s="43"/>
      <c r="DX56" s="43"/>
      <c r="DY56" s="43"/>
      <c r="DZ56" s="43"/>
      <c r="EA56" s="43"/>
      <c r="EB56" s="43"/>
      <c r="EC56" s="43"/>
      <c r="ED56" s="43"/>
      <c r="EE56" s="43"/>
      <c r="EF56" s="43"/>
      <c r="EG56" s="43"/>
      <c r="EH56" s="43"/>
      <c r="EI56" s="43"/>
      <c r="EJ56" s="43"/>
      <c r="EK56" s="43"/>
      <c r="EL56" s="43"/>
      <c r="EM56" s="43"/>
      <c r="EN56" s="43"/>
      <c r="EO56" s="43"/>
      <c r="EP56" s="43"/>
      <c r="EQ56" s="43"/>
      <c r="ER56" s="43"/>
      <c r="ES56" s="43"/>
      <c r="ET56" s="43"/>
      <c r="EU56" s="43"/>
      <c r="EV56" s="43"/>
      <c r="EW56" s="43"/>
      <c r="EX56" s="43"/>
      <c r="EY56" s="43"/>
      <c r="EZ56" s="43"/>
      <c r="FA56" s="43"/>
      <c r="FB56" s="43"/>
      <c r="FC56" s="43"/>
      <c r="FD56" s="43"/>
      <c r="FE56" s="43"/>
      <c r="FF56" s="43"/>
      <c r="FG56" s="43"/>
      <c r="FH56" s="43"/>
      <c r="FI56" s="43"/>
      <c r="FJ56" s="43"/>
      <c r="FK56" s="43"/>
      <c r="FL56" s="43"/>
      <c r="FM56" s="43"/>
      <c r="FN56" s="43"/>
      <c r="FO56" s="43"/>
      <c r="FP56" s="43"/>
      <c r="FQ56" s="43"/>
      <c r="FR56" s="43"/>
      <c r="FS56" s="43"/>
      <c r="FT56" s="43"/>
      <c r="FU56" s="43"/>
      <c r="FV56" s="43"/>
      <c r="FW56" s="43"/>
      <c r="FX56" s="43"/>
      <c r="FY56" s="43"/>
      <c r="FZ56" s="43"/>
      <c r="GA56" s="43"/>
      <c r="GB56" s="43"/>
      <c r="GC56" s="43"/>
      <c r="GD56" s="43"/>
      <c r="GE56" s="43"/>
      <c r="GF56" s="43"/>
      <c r="GG56" s="43"/>
      <c r="GH56" s="43"/>
      <c r="GI56" s="43"/>
      <c r="GJ56" s="43"/>
      <c r="GK56" s="43"/>
      <c r="GL56" s="43"/>
      <c r="GM56" s="43"/>
      <c r="GN56" s="43"/>
      <c r="GO56" s="43"/>
      <c r="GP56" s="43"/>
      <c r="GQ56" s="43"/>
      <c r="GR56" s="43"/>
      <c r="GS56" s="43"/>
      <c r="GT56" s="43"/>
      <c r="GU56" s="43"/>
      <c r="GV56" s="43"/>
      <c r="GW56" s="43"/>
    </row>
    <row r="57" ht="15.0" customHeight="1">
      <c r="A57" s="44"/>
      <c r="B57" s="277" t="s">
        <v>611</v>
      </c>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144"/>
      <c r="AB57" s="144"/>
      <c r="AC57" s="144"/>
      <c r="AD57" s="144"/>
      <c r="AE57" s="144"/>
      <c r="AF57" s="144"/>
      <c r="AG57" s="144"/>
      <c r="AH57" s="144"/>
      <c r="AI57" s="144"/>
      <c r="AJ57" s="144"/>
      <c r="AK57" s="144"/>
      <c r="AL57" s="144"/>
      <c r="AM57" s="144"/>
      <c r="AN57" s="144"/>
      <c r="AO57" s="144"/>
      <c r="AP57" s="144"/>
      <c r="AQ57" s="144"/>
      <c r="AR57" s="144"/>
      <c r="AS57" s="144"/>
      <c r="AT57" s="144"/>
      <c r="AU57" s="144"/>
      <c r="AV57" s="144"/>
      <c r="AW57" s="144"/>
      <c r="AX57" s="144"/>
      <c r="AY57" s="144"/>
      <c r="AZ57" s="144"/>
      <c r="BA57" s="144"/>
      <c r="BB57" s="144"/>
      <c r="BC57" s="144"/>
      <c r="BD57" s="144"/>
      <c r="BE57" s="144"/>
      <c r="BF57" s="144"/>
      <c r="BG57" s="144"/>
      <c r="BH57" s="144"/>
      <c r="BI57" s="144"/>
      <c r="BJ57" s="144"/>
      <c r="BK57" s="144"/>
      <c r="BL57" s="144"/>
      <c r="BM57" s="144"/>
      <c r="BN57" s="144"/>
      <c r="BO57" s="144"/>
      <c r="BP57" s="144"/>
      <c r="BQ57" s="144"/>
      <c r="BR57" s="144"/>
      <c r="BS57" s="144"/>
      <c r="BT57" s="144"/>
      <c r="BU57" s="144"/>
      <c r="BV57" s="144"/>
      <c r="BW57" s="144"/>
      <c r="BX57" s="144"/>
      <c r="BY57" s="144"/>
      <c r="BZ57" s="144"/>
      <c r="CA57" s="144"/>
      <c r="CB57" s="144"/>
      <c r="CC57" s="144"/>
      <c r="CD57" s="144"/>
      <c r="CE57" s="144"/>
      <c r="CF57" s="144"/>
      <c r="CG57" s="144"/>
      <c r="CH57" s="144"/>
      <c r="CI57" s="144"/>
      <c r="CJ57" s="144"/>
      <c r="CK57" s="144"/>
      <c r="CL57" s="144"/>
      <c r="CM57" s="279"/>
      <c r="CN57" s="53"/>
      <c r="CO57" s="51" t="s">
        <v>612</v>
      </c>
      <c r="CP57" s="46"/>
      <c r="CQ57" s="46"/>
      <c r="CR57" s="46"/>
      <c r="CS57" s="46"/>
      <c r="CT57" s="46"/>
      <c r="CU57" s="46"/>
      <c r="CV57" s="46"/>
      <c r="CW57" s="46"/>
      <c r="CX57" s="46"/>
      <c r="CY57" s="46"/>
      <c r="CZ57" s="46"/>
      <c r="DA57" s="46"/>
      <c r="DB57" s="46"/>
      <c r="DC57" s="46"/>
      <c r="DD57" s="46"/>
      <c r="DE57" s="46"/>
      <c r="DF57" s="46"/>
      <c r="DG57" s="46"/>
      <c r="DH57" s="46"/>
      <c r="DI57" s="46"/>
      <c r="DJ57" s="47"/>
      <c r="DK57" s="53"/>
      <c r="DL57" s="280" t="s">
        <v>613</v>
      </c>
      <c r="DM57" s="281"/>
      <c r="DN57" s="281"/>
      <c r="DO57" s="281"/>
      <c r="DP57" s="282"/>
      <c r="DQ57" s="281"/>
      <c r="DR57" s="281"/>
      <c r="DS57" s="281"/>
      <c r="DT57" s="281"/>
      <c r="DU57" s="281"/>
      <c r="DV57" s="281"/>
      <c r="DW57" s="281"/>
      <c r="DX57" s="281"/>
      <c r="DY57" s="281"/>
      <c r="DZ57" s="281"/>
      <c r="EA57" s="281"/>
      <c r="EB57" s="281"/>
      <c r="EC57" s="281"/>
      <c r="ED57" s="281"/>
      <c r="EE57" s="283" t="s">
        <v>614</v>
      </c>
      <c r="EF57" s="281"/>
      <c r="EG57" s="281"/>
      <c r="EH57" s="284"/>
      <c r="EI57" s="281"/>
      <c r="EJ57" s="281"/>
      <c r="EK57" s="281"/>
      <c r="EL57" s="281"/>
      <c r="EM57" s="283" t="s">
        <v>615</v>
      </c>
      <c r="EN57" s="281"/>
      <c r="EO57" s="281"/>
      <c r="EP57" s="281"/>
      <c r="EQ57" s="285"/>
      <c r="ER57" s="281"/>
      <c r="ES57" s="286"/>
      <c r="ET57" s="287" t="s">
        <v>397</v>
      </c>
      <c r="EU57" s="288"/>
      <c r="EV57" s="289" t="s">
        <v>453</v>
      </c>
      <c r="EW57" s="288"/>
      <c r="EX57" s="289" t="s">
        <v>616</v>
      </c>
      <c r="EY57" s="288"/>
      <c r="EZ57" s="290" t="s">
        <v>407</v>
      </c>
      <c r="FA57" s="288"/>
      <c r="FB57" s="290" t="s">
        <v>408</v>
      </c>
      <c r="FC57" s="288"/>
      <c r="FD57" s="290" t="s">
        <v>409</v>
      </c>
      <c r="FE57" s="288"/>
      <c r="FF57" s="290" t="s">
        <v>410</v>
      </c>
      <c r="FG57" s="288"/>
      <c r="FH57" s="290" t="s">
        <v>617</v>
      </c>
      <c r="FI57" s="288"/>
      <c r="FJ57" s="290" t="s">
        <v>618</v>
      </c>
      <c r="FK57" s="288"/>
      <c r="FL57" s="290" t="s">
        <v>402</v>
      </c>
      <c r="FM57" s="288"/>
      <c r="FN57" s="290" t="s">
        <v>619</v>
      </c>
      <c r="FO57" s="288"/>
      <c r="FP57" s="290" t="s">
        <v>620</v>
      </c>
      <c r="FQ57" s="288"/>
      <c r="FR57" s="290" t="s">
        <v>411</v>
      </c>
      <c r="FS57" s="288"/>
      <c r="FT57" s="289" t="s">
        <v>411</v>
      </c>
      <c r="FU57" s="291"/>
      <c r="FV57" s="292" t="s">
        <v>621</v>
      </c>
      <c r="FW57" s="281"/>
      <c r="FX57" s="281"/>
      <c r="FY57" s="281"/>
      <c r="FZ57" s="293"/>
      <c r="GA57" s="281"/>
      <c r="GB57" s="281"/>
      <c r="GC57" s="292" t="s">
        <v>622</v>
      </c>
      <c r="GD57" s="281"/>
      <c r="GE57" s="281"/>
      <c r="GF57" s="281"/>
      <c r="GG57" s="285"/>
      <c r="GH57" s="281"/>
      <c r="GI57" s="281"/>
      <c r="GJ57" s="292" t="s">
        <v>623</v>
      </c>
      <c r="GK57" s="281"/>
      <c r="GL57" s="281"/>
      <c r="GM57" s="281"/>
      <c r="GN57" s="285"/>
      <c r="GO57" s="281"/>
      <c r="GP57" s="281"/>
      <c r="GQ57" s="292"/>
      <c r="GR57" s="281"/>
      <c r="GS57" s="281"/>
      <c r="GT57" s="281"/>
      <c r="GU57" s="285"/>
      <c r="GV57" s="281"/>
      <c r="GW57" s="286"/>
    </row>
    <row r="58" ht="15.0" customHeight="1">
      <c r="A58" s="44"/>
      <c r="B58" s="294" t="s">
        <v>613</v>
      </c>
      <c r="C58" s="46"/>
      <c r="D58" s="46"/>
      <c r="E58" s="47"/>
      <c r="F58" s="295"/>
      <c r="G58" s="46"/>
      <c r="H58" s="46"/>
      <c r="I58" s="46"/>
      <c r="J58" s="46"/>
      <c r="K58" s="46"/>
      <c r="L58" s="46"/>
      <c r="M58" s="46"/>
      <c r="N58" s="46"/>
      <c r="O58" s="46"/>
      <c r="P58" s="46"/>
      <c r="Q58" s="46"/>
      <c r="R58" s="46"/>
      <c r="S58" s="46"/>
      <c r="T58" s="47"/>
      <c r="U58" s="296" t="s">
        <v>625</v>
      </c>
      <c r="V58" s="46"/>
      <c r="W58" s="46"/>
      <c r="X58" s="47"/>
      <c r="Y58" s="297"/>
      <c r="Z58" s="46"/>
      <c r="AA58" s="46"/>
      <c r="AB58" s="47"/>
      <c r="AC58" s="298" t="s">
        <v>615</v>
      </c>
      <c r="AD58" s="46"/>
      <c r="AE58" s="46"/>
      <c r="AF58" s="47"/>
      <c r="AG58" s="299"/>
      <c r="AH58" s="46"/>
      <c r="AI58" s="47"/>
      <c r="AJ58" s="300" t="s">
        <v>397</v>
      </c>
      <c r="AK58" s="47"/>
      <c r="AL58" s="301" t="s">
        <v>453</v>
      </c>
      <c r="AM58" s="47"/>
      <c r="AN58" s="301" t="s">
        <v>616</v>
      </c>
      <c r="AO58" s="47"/>
      <c r="AP58" s="300" t="s">
        <v>407</v>
      </c>
      <c r="AQ58" s="47"/>
      <c r="AR58" s="300" t="s">
        <v>408</v>
      </c>
      <c r="AS58" s="47"/>
      <c r="AT58" s="300" t="s">
        <v>409</v>
      </c>
      <c r="AU58" s="47"/>
      <c r="AV58" s="300" t="s">
        <v>410</v>
      </c>
      <c r="AW58" s="47"/>
      <c r="AX58" s="300" t="s">
        <v>617</v>
      </c>
      <c r="AY58" s="47"/>
      <c r="AZ58" s="300" t="s">
        <v>618</v>
      </c>
      <c r="BA58" s="47"/>
      <c r="BB58" s="300" t="s">
        <v>402</v>
      </c>
      <c r="BC58" s="47"/>
      <c r="BD58" s="300" t="s">
        <v>619</v>
      </c>
      <c r="BE58" s="47"/>
      <c r="BF58" s="300" t="s">
        <v>620</v>
      </c>
      <c r="BG58" s="47"/>
      <c r="BH58" s="300" t="s">
        <v>411</v>
      </c>
      <c r="BI58" s="47"/>
      <c r="BJ58" s="301" t="s">
        <v>411</v>
      </c>
      <c r="BK58" s="47"/>
      <c r="BL58" s="302"/>
      <c r="BM58" s="46"/>
      <c r="BN58" s="46"/>
      <c r="BO58" s="47"/>
      <c r="BP58" s="303"/>
      <c r="BQ58" s="46"/>
      <c r="BR58" s="47"/>
      <c r="BS58" s="302" t="s">
        <v>621</v>
      </c>
      <c r="BT58" s="46"/>
      <c r="BU58" s="46"/>
      <c r="BV58" s="47"/>
      <c r="BW58" s="299"/>
      <c r="BX58" s="46"/>
      <c r="BY58" s="47"/>
      <c r="BZ58" s="302" t="s">
        <v>622</v>
      </c>
      <c r="CA58" s="46"/>
      <c r="CB58" s="46"/>
      <c r="CC58" s="47"/>
      <c r="CD58" s="299"/>
      <c r="CE58" s="46"/>
      <c r="CF58" s="47"/>
      <c r="CG58" s="302" t="s">
        <v>623</v>
      </c>
      <c r="CH58" s="46"/>
      <c r="CI58" s="46"/>
      <c r="CJ58" s="47"/>
      <c r="CK58" s="303"/>
      <c r="CL58" s="46"/>
      <c r="CM58" s="74"/>
      <c r="CN58" s="304"/>
      <c r="CO58" s="305" t="s">
        <v>626</v>
      </c>
      <c r="CP58" s="49"/>
      <c r="CQ58" s="49"/>
      <c r="CR58" s="50"/>
      <c r="CS58" s="306" t="s">
        <v>627</v>
      </c>
      <c r="CT58" s="50"/>
      <c r="CU58" s="307" t="b">
        <v>0</v>
      </c>
      <c r="CV58" s="50"/>
      <c r="CW58" s="308" t="s">
        <v>628</v>
      </c>
      <c r="CX58" s="50"/>
      <c r="CY58" s="307" t="b">
        <v>0</v>
      </c>
      <c r="CZ58" s="50"/>
      <c r="DA58" s="309" t="s">
        <v>629</v>
      </c>
      <c r="DB58" s="50"/>
      <c r="DC58" s="307" t="b">
        <v>0</v>
      </c>
      <c r="DD58" s="50"/>
      <c r="DE58" s="308" t="s">
        <v>630</v>
      </c>
      <c r="DF58" s="50"/>
      <c r="DG58" s="307" t="b">
        <v>0</v>
      </c>
      <c r="DH58" s="49"/>
      <c r="DI58" s="49"/>
      <c r="DJ58" s="50"/>
      <c r="DK58" s="53"/>
      <c r="DL58" s="310" t="s">
        <v>631</v>
      </c>
      <c r="DM58" s="49"/>
      <c r="DN58" s="49"/>
      <c r="DO58" s="49"/>
      <c r="DP58" s="311"/>
      <c r="ES58" s="312"/>
      <c r="ET58" s="43"/>
      <c r="EU58" s="60"/>
      <c r="EV58" s="102"/>
      <c r="EW58" s="60"/>
      <c r="EX58" s="102"/>
      <c r="EY58" s="60"/>
      <c r="EZ58" s="102"/>
      <c r="FA58" s="60"/>
      <c r="FB58" s="102"/>
      <c r="FC58" s="60"/>
      <c r="FD58" s="104"/>
      <c r="FE58" s="60"/>
      <c r="FF58" s="102"/>
      <c r="FG58" s="60"/>
      <c r="FH58" s="102"/>
      <c r="FI58" s="60"/>
      <c r="FJ58" s="102"/>
      <c r="FK58" s="60"/>
      <c r="FL58" s="102"/>
      <c r="FM58" s="60"/>
      <c r="FN58" s="102"/>
      <c r="FO58" s="60"/>
      <c r="FP58" s="102"/>
      <c r="FQ58" s="60"/>
      <c r="FR58" s="102"/>
      <c r="FS58" s="60"/>
      <c r="FT58" s="102"/>
      <c r="FU58" s="312"/>
      <c r="FV58" s="313"/>
      <c r="FW58" s="46"/>
      <c r="FX58" s="46"/>
      <c r="FY58" s="46"/>
      <c r="FZ58" s="314"/>
      <c r="GA58" s="46"/>
      <c r="GB58" s="46"/>
      <c r="GC58" s="313"/>
      <c r="GD58" s="46"/>
      <c r="GE58" s="46"/>
      <c r="GF58" s="46"/>
      <c r="GG58" s="314"/>
      <c r="GH58" s="46"/>
      <c r="GI58" s="46"/>
      <c r="GJ58" s="313"/>
      <c r="GK58" s="46"/>
      <c r="GL58" s="46"/>
      <c r="GM58" s="46"/>
      <c r="GN58" s="314"/>
      <c r="GO58" s="46"/>
      <c r="GP58" s="46"/>
      <c r="GQ58" s="313"/>
      <c r="GR58" s="46"/>
      <c r="GS58" s="46"/>
      <c r="GT58" s="46"/>
      <c r="GU58" s="314"/>
      <c r="GV58" s="46"/>
      <c r="GW58" s="315"/>
    </row>
    <row r="59" ht="15.0" customHeight="1">
      <c r="A59" s="44"/>
      <c r="B59" s="316" t="s">
        <v>631</v>
      </c>
      <c r="C59" s="49"/>
      <c r="D59" s="49"/>
      <c r="E59" s="50"/>
      <c r="F59" s="317"/>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50"/>
      <c r="AJ59" s="307">
        <f>V22</f>
        <v>2</v>
      </c>
      <c r="AK59" s="50"/>
      <c r="AL59" s="307">
        <f>O33</f>
        <v>0</v>
      </c>
      <c r="AM59" s="50"/>
      <c r="AN59" s="307"/>
      <c r="AO59" s="50"/>
      <c r="AP59" s="307"/>
      <c r="AQ59" s="50"/>
      <c r="AR59" s="73"/>
      <c r="AS59" s="50"/>
      <c r="AT59" s="307"/>
      <c r="AU59" s="50"/>
      <c r="AV59" s="307"/>
      <c r="AW59" s="50"/>
      <c r="AX59" s="73"/>
      <c r="AY59" s="50"/>
      <c r="AZ59" s="307"/>
      <c r="BA59" s="50"/>
      <c r="BB59" s="307"/>
      <c r="BC59" s="50"/>
      <c r="BD59" s="307"/>
      <c r="BE59" s="50"/>
      <c r="BF59" s="73"/>
      <c r="BG59" s="50"/>
      <c r="BH59" s="307"/>
      <c r="BI59" s="50"/>
      <c r="BJ59" s="73"/>
      <c r="BK59" s="50"/>
      <c r="BL59" s="302"/>
      <c r="BM59" s="46"/>
      <c r="BN59" s="46"/>
      <c r="BO59" s="47"/>
      <c r="BP59" s="303"/>
      <c r="BQ59" s="46"/>
      <c r="BR59" s="47"/>
      <c r="BS59" s="302"/>
      <c r="BT59" s="46"/>
      <c r="BU59" s="46"/>
      <c r="BV59" s="47"/>
      <c r="BW59" s="303"/>
      <c r="BX59" s="46"/>
      <c r="BY59" s="47"/>
      <c r="BZ59" s="302"/>
      <c r="CA59" s="46"/>
      <c r="CB59" s="46"/>
      <c r="CC59" s="47"/>
      <c r="CD59" s="303"/>
      <c r="CE59" s="46"/>
      <c r="CF59" s="47"/>
      <c r="CG59" s="302"/>
      <c r="CH59" s="46"/>
      <c r="CI59" s="46"/>
      <c r="CJ59" s="47"/>
      <c r="CK59" s="303"/>
      <c r="CL59" s="46"/>
      <c r="CM59" s="74"/>
      <c r="CN59" s="318"/>
      <c r="CO59" s="70"/>
      <c r="CP59" s="57"/>
      <c r="CQ59" s="57"/>
      <c r="CR59" s="58"/>
      <c r="CS59" s="70"/>
      <c r="CT59" s="58"/>
      <c r="CU59" s="70"/>
      <c r="CV59" s="58"/>
      <c r="CW59" s="70"/>
      <c r="CX59" s="58"/>
      <c r="CY59" s="70"/>
      <c r="CZ59" s="58"/>
      <c r="DA59" s="70"/>
      <c r="DB59" s="58"/>
      <c r="DC59" s="70"/>
      <c r="DD59" s="58"/>
      <c r="DE59" s="70"/>
      <c r="DF59" s="58"/>
      <c r="DG59" s="70"/>
      <c r="DH59" s="57"/>
      <c r="DI59" s="57"/>
      <c r="DJ59" s="58"/>
      <c r="DK59" s="53"/>
      <c r="DL59" s="319"/>
      <c r="DM59" s="320"/>
      <c r="DN59" s="320"/>
      <c r="DO59" s="320"/>
      <c r="DP59" s="319"/>
      <c r="DQ59" s="320"/>
      <c r="DR59" s="320"/>
      <c r="DS59" s="320"/>
      <c r="DT59" s="320"/>
      <c r="DU59" s="320"/>
      <c r="DV59" s="320"/>
      <c r="DW59" s="320"/>
      <c r="DX59" s="320"/>
      <c r="DY59" s="320"/>
      <c r="DZ59" s="320"/>
      <c r="EA59" s="320"/>
      <c r="EB59" s="320"/>
      <c r="EC59" s="320"/>
      <c r="ED59" s="320"/>
      <c r="EE59" s="320"/>
      <c r="EF59" s="320"/>
      <c r="EG59" s="320"/>
      <c r="EH59" s="320"/>
      <c r="EI59" s="320"/>
      <c r="EJ59" s="320"/>
      <c r="EK59" s="320"/>
      <c r="EL59" s="320"/>
      <c r="EM59" s="320"/>
      <c r="EN59" s="320"/>
      <c r="EO59" s="320"/>
      <c r="EP59" s="320"/>
      <c r="EQ59" s="320"/>
      <c r="ER59" s="320"/>
      <c r="ES59" s="321"/>
      <c r="ET59" s="320"/>
      <c r="EU59" s="322"/>
      <c r="EV59" s="323"/>
      <c r="EW59" s="322"/>
      <c r="EX59" s="323"/>
      <c r="EY59" s="322"/>
      <c r="EZ59" s="323"/>
      <c r="FA59" s="322"/>
      <c r="FB59" s="323"/>
      <c r="FC59" s="322"/>
      <c r="FD59" s="323"/>
      <c r="FE59" s="322"/>
      <c r="FF59" s="323"/>
      <c r="FG59" s="322"/>
      <c r="FH59" s="323"/>
      <c r="FI59" s="322"/>
      <c r="FJ59" s="323"/>
      <c r="FK59" s="322"/>
      <c r="FL59" s="323"/>
      <c r="FM59" s="322"/>
      <c r="FN59" s="323"/>
      <c r="FO59" s="322"/>
      <c r="FP59" s="323"/>
      <c r="FQ59" s="322"/>
      <c r="FR59" s="323"/>
      <c r="FS59" s="322"/>
      <c r="FT59" s="323"/>
      <c r="FU59" s="321"/>
      <c r="FV59" s="324" t="s">
        <v>632</v>
      </c>
      <c r="FW59" s="325"/>
      <c r="FX59" s="325"/>
      <c r="FY59" s="325"/>
      <c r="FZ59" s="326">
        <f>Sum(ET58:FU59)</f>
        <v>0</v>
      </c>
      <c r="GA59" s="325"/>
      <c r="GB59" s="325"/>
      <c r="GC59" s="324" t="s">
        <v>401</v>
      </c>
      <c r="GD59" s="325"/>
      <c r="GE59" s="325"/>
      <c r="GF59" s="325"/>
      <c r="GG59" s="326"/>
      <c r="GH59" s="325"/>
      <c r="GI59" s="325"/>
      <c r="GJ59" s="327" t="s">
        <v>546</v>
      </c>
      <c r="GK59" s="325"/>
      <c r="GL59" s="325"/>
      <c r="GM59" s="325"/>
      <c r="GN59" s="326"/>
      <c r="GO59" s="325"/>
      <c r="GP59" s="325"/>
      <c r="GQ59" s="324"/>
      <c r="GR59" s="325"/>
      <c r="GS59" s="325"/>
      <c r="GT59" s="325"/>
      <c r="GU59" s="328"/>
      <c r="GV59" s="325"/>
      <c r="GW59" s="329"/>
    </row>
    <row r="60" ht="15.0" customHeight="1">
      <c r="A60" s="44"/>
      <c r="B60" s="330"/>
      <c r="C60" s="331"/>
      <c r="D60" s="331"/>
      <c r="E60" s="332"/>
      <c r="F60" s="333"/>
      <c r="G60" s="331"/>
      <c r="H60" s="331"/>
      <c r="I60" s="331"/>
      <c r="J60" s="331"/>
      <c r="K60" s="331"/>
      <c r="L60" s="331"/>
      <c r="M60" s="331"/>
      <c r="N60" s="331"/>
      <c r="O60" s="331"/>
      <c r="P60" s="331"/>
      <c r="Q60" s="331"/>
      <c r="R60" s="331"/>
      <c r="S60" s="331"/>
      <c r="T60" s="331"/>
      <c r="U60" s="331"/>
      <c r="V60" s="331"/>
      <c r="W60" s="331"/>
      <c r="X60" s="331"/>
      <c r="Y60" s="331"/>
      <c r="Z60" s="331"/>
      <c r="AA60" s="331"/>
      <c r="AB60" s="331"/>
      <c r="AC60" s="331"/>
      <c r="AD60" s="331"/>
      <c r="AE60" s="331"/>
      <c r="AF60" s="331"/>
      <c r="AG60" s="331"/>
      <c r="AH60" s="331"/>
      <c r="AI60" s="332"/>
      <c r="AJ60" s="333"/>
      <c r="AK60" s="332"/>
      <c r="AL60" s="333"/>
      <c r="AM60" s="332"/>
      <c r="AN60" s="333"/>
      <c r="AO60" s="332"/>
      <c r="AP60" s="333"/>
      <c r="AQ60" s="332"/>
      <c r="AR60" s="333"/>
      <c r="AS60" s="332"/>
      <c r="AT60" s="333"/>
      <c r="AU60" s="332"/>
      <c r="AV60" s="333"/>
      <c r="AW60" s="332"/>
      <c r="AX60" s="333"/>
      <c r="AY60" s="332"/>
      <c r="AZ60" s="333"/>
      <c r="BA60" s="332"/>
      <c r="BB60" s="333"/>
      <c r="BC60" s="332"/>
      <c r="BD60" s="333"/>
      <c r="BE60" s="332"/>
      <c r="BF60" s="333"/>
      <c r="BG60" s="332"/>
      <c r="BH60" s="333"/>
      <c r="BI60" s="332"/>
      <c r="BJ60" s="333"/>
      <c r="BK60" s="332"/>
      <c r="BL60" s="334" t="s">
        <v>632</v>
      </c>
      <c r="BM60" s="158"/>
      <c r="BN60" s="158"/>
      <c r="BO60" s="159"/>
      <c r="BP60" s="335">
        <f>Sum(AJ59:BK60)</f>
        <v>2</v>
      </c>
      <c r="BQ60" s="158"/>
      <c r="BR60" s="159"/>
      <c r="BS60" s="334" t="s">
        <v>401</v>
      </c>
      <c r="BT60" s="158"/>
      <c r="BU60" s="158"/>
      <c r="BV60" s="159"/>
      <c r="BW60" s="336">
        <f>AD19+S33</f>
        <v>-1</v>
      </c>
      <c r="BX60" s="158"/>
      <c r="BY60" s="159"/>
      <c r="BZ60" s="337" t="s">
        <v>633</v>
      </c>
      <c r="CA60" s="158"/>
      <c r="CB60" s="158"/>
      <c r="CC60" s="159"/>
      <c r="CD60" s="335">
        <f> V19+O33+AN59</f>
        <v>2</v>
      </c>
      <c r="CE60" s="158"/>
      <c r="CF60" s="159"/>
      <c r="CG60" s="334"/>
      <c r="CH60" s="158"/>
      <c r="CI60" s="158"/>
      <c r="CJ60" s="159"/>
      <c r="CK60" s="399"/>
      <c r="CL60" s="158"/>
      <c r="CM60" s="340"/>
      <c r="CN60" s="318"/>
      <c r="CO60" s="341" t="s">
        <v>634</v>
      </c>
      <c r="CP60" s="46"/>
      <c r="CQ60" s="46"/>
      <c r="CR60" s="46"/>
      <c r="CS60" s="46"/>
      <c r="CT60" s="46"/>
      <c r="CU60" s="46"/>
      <c r="CV60" s="46"/>
      <c r="CW60" s="46"/>
      <c r="CX60" s="46"/>
      <c r="CY60" s="46"/>
      <c r="CZ60" s="46"/>
      <c r="DA60" s="46"/>
      <c r="DB60" s="46"/>
      <c r="DC60" s="46"/>
      <c r="DD60" s="46"/>
      <c r="DE60" s="46"/>
      <c r="DF60" s="46"/>
      <c r="DG60" s="46"/>
      <c r="DH60" s="46"/>
      <c r="DI60" s="46"/>
      <c r="DJ60" s="47"/>
      <c r="DK60" s="53"/>
      <c r="DL60" s="43"/>
      <c r="DM60" s="43"/>
      <c r="DN60" s="43"/>
      <c r="DO60" s="43"/>
      <c r="DP60" s="43"/>
      <c r="DQ60" s="43"/>
      <c r="DR60" s="43"/>
      <c r="DS60" s="43"/>
      <c r="DT60" s="43"/>
      <c r="DU60" s="43"/>
      <c r="DV60" s="43"/>
      <c r="DW60" s="43"/>
      <c r="DX60" s="43"/>
      <c r="DY60" s="43"/>
      <c r="DZ60" s="43"/>
      <c r="EA60" s="43"/>
      <c r="EB60" s="43"/>
      <c r="EC60" s="43"/>
      <c r="ED60" s="43"/>
      <c r="EE60" s="43"/>
      <c r="EF60" s="43"/>
      <c r="EG60" s="43"/>
      <c r="EH60" s="43"/>
      <c r="EI60" s="43"/>
      <c r="EJ60" s="43"/>
      <c r="EK60" s="43"/>
      <c r="EL60" s="43"/>
      <c r="EM60" s="43"/>
      <c r="EN60" s="43"/>
      <c r="EO60" s="43"/>
      <c r="EP60" s="43"/>
      <c r="EQ60" s="128"/>
      <c r="ER60" s="128"/>
      <c r="ES60" s="128"/>
      <c r="ET60" s="128"/>
      <c r="EU60" s="128"/>
      <c r="EV60" s="128"/>
      <c r="EW60" s="128"/>
      <c r="EX60" s="128"/>
      <c r="EY60" s="128"/>
      <c r="EZ60" s="128"/>
      <c r="FA60" s="128"/>
      <c r="FB60" s="128"/>
      <c r="FC60" s="128"/>
      <c r="FD60" s="43"/>
      <c r="FE60" s="43"/>
      <c r="FF60" s="43"/>
      <c r="FG60" s="43"/>
      <c r="FH60" s="43"/>
      <c r="FI60" s="43"/>
      <c r="FJ60" s="43"/>
      <c r="FK60" s="43"/>
      <c r="FL60" s="43"/>
      <c r="FM60" s="43"/>
      <c r="FN60" s="43"/>
      <c r="FO60" s="43"/>
      <c r="FP60" s="43"/>
      <c r="FQ60" s="43"/>
      <c r="FR60" s="43"/>
      <c r="FS60" s="43"/>
      <c r="FT60" s="43"/>
      <c r="FU60" s="43"/>
      <c r="FV60" s="43"/>
      <c r="FW60" s="43"/>
      <c r="FX60" s="43"/>
      <c r="FY60" s="43"/>
      <c r="FZ60" s="43"/>
      <c r="GA60" s="43"/>
      <c r="GB60" s="43"/>
      <c r="GC60" s="43"/>
      <c r="GD60" s="43"/>
      <c r="GE60" s="43"/>
      <c r="GF60" s="43"/>
      <c r="GG60" s="43"/>
      <c r="GH60" s="43"/>
      <c r="GI60" s="43"/>
      <c r="GJ60" s="43"/>
      <c r="GK60" s="43"/>
      <c r="GL60" s="43"/>
      <c r="GM60" s="43"/>
      <c r="GN60" s="43"/>
      <c r="GO60" s="43"/>
      <c r="GP60" s="43"/>
      <c r="GQ60" s="43"/>
      <c r="GR60" s="43"/>
      <c r="GS60" s="43"/>
      <c r="GT60" s="43"/>
      <c r="GU60" s="43"/>
      <c r="GV60" s="43"/>
      <c r="GW60" s="43"/>
    </row>
    <row r="61" ht="15.0" customHeight="1">
      <c r="A61" s="44"/>
      <c r="B61" s="342" t="s">
        <v>613</v>
      </c>
      <c r="C61" s="57"/>
      <c r="D61" s="57"/>
      <c r="E61" s="58"/>
      <c r="F61" s="343"/>
      <c r="G61" s="57"/>
      <c r="H61" s="57"/>
      <c r="I61" s="57"/>
      <c r="J61" s="57"/>
      <c r="K61" s="57"/>
      <c r="L61" s="57"/>
      <c r="M61" s="57"/>
      <c r="N61" s="57"/>
      <c r="O61" s="57"/>
      <c r="P61" s="57"/>
      <c r="Q61" s="57"/>
      <c r="R61" s="57"/>
      <c r="S61" s="57"/>
      <c r="T61" s="58"/>
      <c r="U61" s="344" t="s">
        <v>625</v>
      </c>
      <c r="V61" s="57"/>
      <c r="W61" s="57"/>
      <c r="X61" s="58"/>
      <c r="Y61" s="345"/>
      <c r="Z61" s="57"/>
      <c r="AA61" s="57"/>
      <c r="AB61" s="58"/>
      <c r="AC61" s="346" t="s">
        <v>615</v>
      </c>
      <c r="AD61" s="57"/>
      <c r="AE61" s="57"/>
      <c r="AF61" s="58"/>
      <c r="AG61" s="347"/>
      <c r="AH61" s="57"/>
      <c r="AI61" s="58"/>
      <c r="AJ61" s="348" t="s">
        <v>397</v>
      </c>
      <c r="AK61" s="58"/>
      <c r="AL61" s="348" t="s">
        <v>453</v>
      </c>
      <c r="AM61" s="58"/>
      <c r="AN61" s="348" t="s">
        <v>616</v>
      </c>
      <c r="AO61" s="58"/>
      <c r="AP61" s="349" t="s">
        <v>407</v>
      </c>
      <c r="AQ61" s="58"/>
      <c r="AR61" s="349" t="s">
        <v>408</v>
      </c>
      <c r="AS61" s="58"/>
      <c r="AT61" s="349" t="s">
        <v>409</v>
      </c>
      <c r="AU61" s="58"/>
      <c r="AV61" s="349" t="s">
        <v>410</v>
      </c>
      <c r="AW61" s="58"/>
      <c r="AX61" s="349" t="s">
        <v>617</v>
      </c>
      <c r="AY61" s="58"/>
      <c r="AZ61" s="349" t="s">
        <v>618</v>
      </c>
      <c r="BA61" s="58"/>
      <c r="BB61" s="349" t="s">
        <v>402</v>
      </c>
      <c r="BC61" s="58"/>
      <c r="BD61" s="349" t="s">
        <v>619</v>
      </c>
      <c r="BE61" s="58"/>
      <c r="BF61" s="349" t="s">
        <v>620</v>
      </c>
      <c r="BG61" s="58"/>
      <c r="BH61" s="349" t="s">
        <v>411</v>
      </c>
      <c r="BI61" s="58"/>
      <c r="BJ61" s="348" t="s">
        <v>411</v>
      </c>
      <c r="BK61" s="58"/>
      <c r="BL61" s="350"/>
      <c r="BM61" s="57"/>
      <c r="BN61" s="57"/>
      <c r="BO61" s="58"/>
      <c r="BP61" s="347"/>
      <c r="BQ61" s="57"/>
      <c r="BR61" s="58"/>
      <c r="BS61" s="350" t="s">
        <v>621</v>
      </c>
      <c r="BT61" s="57"/>
      <c r="BU61" s="57"/>
      <c r="BV61" s="58"/>
      <c r="BW61" s="351"/>
      <c r="BX61" s="57"/>
      <c r="BY61" s="58"/>
      <c r="BZ61" s="350" t="s">
        <v>622</v>
      </c>
      <c r="CA61" s="57"/>
      <c r="CB61" s="57"/>
      <c r="CC61" s="58"/>
      <c r="CD61" s="347"/>
      <c r="CE61" s="57"/>
      <c r="CF61" s="58"/>
      <c r="CG61" s="350" t="s">
        <v>623</v>
      </c>
      <c r="CH61" s="57"/>
      <c r="CI61" s="57"/>
      <c r="CJ61" s="58"/>
      <c r="CK61" s="347"/>
      <c r="CL61" s="57"/>
      <c r="CM61" s="352"/>
      <c r="CN61" s="318"/>
      <c r="CO61" s="353" t="s">
        <v>635</v>
      </c>
      <c r="CP61" s="46"/>
      <c r="CQ61" s="46"/>
      <c r="CR61" s="46"/>
      <c r="CS61" s="46"/>
      <c r="CT61" s="47"/>
      <c r="CU61" s="353" t="s">
        <v>636</v>
      </c>
      <c r="CV61" s="46"/>
      <c r="CW61" s="46"/>
      <c r="CX61" s="46"/>
      <c r="CY61" s="46"/>
      <c r="CZ61" s="47"/>
      <c r="DA61" s="353" t="s">
        <v>401</v>
      </c>
      <c r="DB61" s="46"/>
      <c r="DC61" s="46"/>
      <c r="DD61" s="46"/>
      <c r="DE61" s="46"/>
      <c r="DF61" s="46"/>
      <c r="DG61" s="46"/>
      <c r="DH61" s="46"/>
      <c r="DI61" s="46"/>
      <c r="DJ61" s="47"/>
      <c r="DK61" s="53"/>
      <c r="DL61" s="354" t="s">
        <v>637</v>
      </c>
      <c r="DM61" s="355"/>
      <c r="DN61" s="355"/>
      <c r="DO61" s="355"/>
      <c r="DP61" s="356"/>
      <c r="DQ61" s="355"/>
      <c r="DR61" s="355"/>
      <c r="DS61" s="355"/>
      <c r="DT61" s="355"/>
      <c r="DU61" s="288"/>
      <c r="DV61" s="357" t="s">
        <v>638</v>
      </c>
      <c r="DW61" s="358"/>
      <c r="DX61" s="358"/>
      <c r="DY61" s="359" t="s">
        <v>639</v>
      </c>
      <c r="DZ61" s="358"/>
      <c r="EA61" s="360"/>
      <c r="EB61" s="358"/>
      <c r="EC61" s="361"/>
      <c r="ED61" s="362"/>
      <c r="EE61" s="358"/>
      <c r="EF61" s="359" t="s">
        <v>361</v>
      </c>
      <c r="EG61" s="358"/>
      <c r="EH61" s="360"/>
      <c r="EI61" s="358"/>
      <c r="EJ61" s="358"/>
      <c r="EK61" s="358"/>
      <c r="EL61" s="359" t="s">
        <v>622</v>
      </c>
      <c r="EM61" s="358"/>
      <c r="EN61" s="360"/>
      <c r="EO61" s="358"/>
      <c r="EP61" s="359" t="s">
        <v>621</v>
      </c>
      <c r="EQ61" s="358"/>
      <c r="ER61" s="360"/>
      <c r="ES61" s="358"/>
      <c r="ET61" s="359" t="s">
        <v>623</v>
      </c>
      <c r="EU61" s="358"/>
      <c r="EV61" s="360"/>
      <c r="EW61" s="358"/>
      <c r="EX61" s="363" t="s">
        <v>640</v>
      </c>
      <c r="EY61" s="355"/>
      <c r="EZ61" s="364"/>
      <c r="FA61" s="355"/>
      <c r="FB61" s="365" t="s">
        <v>641</v>
      </c>
      <c r="FC61" s="355"/>
      <c r="FD61" s="364"/>
      <c r="FE61" s="355"/>
      <c r="FF61" s="365" t="s">
        <v>642</v>
      </c>
      <c r="FG61" s="355"/>
      <c r="FH61" s="364"/>
      <c r="FI61" s="355"/>
      <c r="FJ61" s="366" t="s">
        <v>490</v>
      </c>
      <c r="FK61" s="367"/>
      <c r="FL61" s="368"/>
      <c r="FM61" s="367"/>
      <c r="FN61" s="366" t="s">
        <v>508</v>
      </c>
      <c r="FO61" s="367"/>
      <c r="FP61" s="368"/>
      <c r="FQ61" s="367"/>
      <c r="FR61" s="369" t="s">
        <v>397</v>
      </c>
      <c r="FS61" s="355"/>
      <c r="FT61" s="370" t="s">
        <v>421</v>
      </c>
      <c r="FU61" s="371"/>
      <c r="FV61" s="372"/>
      <c r="FW61" s="373"/>
      <c r="FX61" s="370" t="s">
        <v>428</v>
      </c>
      <c r="FY61" s="371"/>
      <c r="FZ61" s="372"/>
      <c r="GA61" s="373"/>
      <c r="GB61" s="370" t="s">
        <v>424</v>
      </c>
      <c r="GC61" s="371"/>
      <c r="GD61" s="372"/>
      <c r="GE61" s="374"/>
      <c r="GF61" s="375" t="s">
        <v>453</v>
      </c>
      <c r="GG61" s="355"/>
      <c r="GH61" s="370"/>
      <c r="GI61" s="371"/>
      <c r="GJ61" s="372"/>
      <c r="GK61" s="373"/>
      <c r="GL61" s="370"/>
      <c r="GM61" s="371"/>
      <c r="GN61" s="372"/>
      <c r="GO61" s="373"/>
      <c r="GP61" s="370"/>
      <c r="GQ61" s="371"/>
      <c r="GR61" s="372"/>
      <c r="GS61" s="373"/>
      <c r="GT61" s="370"/>
      <c r="GU61" s="371"/>
      <c r="GV61" s="372"/>
      <c r="GW61" s="374"/>
    </row>
    <row r="62" ht="15.0" customHeight="1">
      <c r="A62" s="44"/>
      <c r="B62" s="316" t="s">
        <v>631</v>
      </c>
      <c r="C62" s="49"/>
      <c r="D62" s="49"/>
      <c r="E62" s="50"/>
      <c r="F62" s="376"/>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50"/>
      <c r="AJ62" s="73"/>
      <c r="AK62" s="50"/>
      <c r="AL62" s="73"/>
      <c r="AM62" s="50"/>
      <c r="AN62" s="73"/>
      <c r="AO62" s="50"/>
      <c r="AP62" s="307"/>
      <c r="AQ62" s="50"/>
      <c r="AR62" s="73"/>
      <c r="AS62" s="50"/>
      <c r="AT62" s="73"/>
      <c r="AU62" s="50"/>
      <c r="AV62" s="73"/>
      <c r="AW62" s="50"/>
      <c r="AX62" s="73"/>
      <c r="AY62" s="50"/>
      <c r="AZ62" s="73"/>
      <c r="BA62" s="50"/>
      <c r="BB62" s="73"/>
      <c r="BC62" s="50"/>
      <c r="BD62" s="73"/>
      <c r="BE62" s="50"/>
      <c r="BF62" s="73"/>
      <c r="BG62" s="50"/>
      <c r="BH62" s="73"/>
      <c r="BI62" s="50"/>
      <c r="BJ62" s="73"/>
      <c r="BK62" s="50"/>
      <c r="BL62" s="302"/>
      <c r="BM62" s="46"/>
      <c r="BN62" s="46"/>
      <c r="BO62" s="47"/>
      <c r="BP62" s="303"/>
      <c r="BQ62" s="46"/>
      <c r="BR62" s="47"/>
      <c r="BS62" s="302"/>
      <c r="BT62" s="46"/>
      <c r="BU62" s="46"/>
      <c r="BV62" s="47"/>
      <c r="BW62" s="303"/>
      <c r="BX62" s="46"/>
      <c r="BY62" s="47"/>
      <c r="BZ62" s="302"/>
      <c r="CA62" s="46"/>
      <c r="CB62" s="46"/>
      <c r="CC62" s="47"/>
      <c r="CD62" s="303"/>
      <c r="CE62" s="46"/>
      <c r="CF62" s="47"/>
      <c r="CG62" s="302"/>
      <c r="CH62" s="46"/>
      <c r="CI62" s="46"/>
      <c r="CJ62" s="47"/>
      <c r="CK62" s="303"/>
      <c r="CL62" s="46"/>
      <c r="CM62" s="74"/>
      <c r="CN62" s="318"/>
      <c r="CO62" s="377">
        <f>sum(CO64,CT64,CY64,CO66,CT66,DA66,CO68,CT68,CY68,CO70,CT70,CY70)</f>
        <v>2</v>
      </c>
      <c r="CP62" s="46"/>
      <c r="CQ62" s="46"/>
      <c r="CR62" s="46"/>
      <c r="CS62" s="46"/>
      <c r="CT62" s="47"/>
      <c r="CU62" s="377">
        <f>sum(CO64,CT64,CY64,CO66,CX66,DF66,CO68,CT68,CY68,CO70,CT70,CY70)</f>
        <v>2</v>
      </c>
      <c r="CV62" s="46"/>
      <c r="CW62" s="46"/>
      <c r="CX62" s="46"/>
      <c r="CY62" s="46"/>
      <c r="CZ62" s="47"/>
      <c r="DA62" s="378" t="s">
        <v>413</v>
      </c>
      <c r="DB62" s="47"/>
      <c r="DC62" s="377">
        <f>(X19+X22)+DH62</f>
        <v>0</v>
      </c>
      <c r="DD62" s="46"/>
      <c r="DE62" s="47"/>
      <c r="DF62" s="353" t="s">
        <v>415</v>
      </c>
      <c r="DG62" s="47"/>
      <c r="DH62" s="91"/>
      <c r="DI62" s="46"/>
      <c r="DJ62" s="47"/>
      <c r="DK62" s="53"/>
      <c r="DL62" s="379"/>
      <c r="DM62" s="57"/>
      <c r="DN62" s="57"/>
      <c r="DO62" s="57"/>
      <c r="DP62" s="57"/>
      <c r="DQ62" s="57"/>
      <c r="DR62" s="57"/>
      <c r="DS62" s="57"/>
      <c r="DT62" s="57"/>
      <c r="DU62" s="58"/>
      <c r="DV62" s="380" t="s">
        <v>643</v>
      </c>
      <c r="DW62" s="381"/>
      <c r="DX62" s="381"/>
      <c r="DY62" s="382" t="s">
        <v>644</v>
      </c>
      <c r="DZ62" s="381"/>
      <c r="EA62" s="383"/>
      <c r="EB62" s="381"/>
      <c r="EC62" s="384"/>
      <c r="ED62" s="385"/>
      <c r="EE62" s="381"/>
      <c r="EF62" s="386" t="s">
        <v>646</v>
      </c>
      <c r="EG62" s="381"/>
      <c r="EH62" s="387" t="b">
        <v>0</v>
      </c>
      <c r="EI62" s="386" t="s">
        <v>647</v>
      </c>
      <c r="EJ62" s="381"/>
      <c r="EK62" s="387" t="b">
        <v>0</v>
      </c>
      <c r="EL62" s="386" t="s">
        <v>648</v>
      </c>
      <c r="EM62" s="381"/>
      <c r="EN62" s="383"/>
      <c r="EO62" s="381"/>
      <c r="EP62" s="386" t="s">
        <v>649</v>
      </c>
      <c r="EQ62" s="381"/>
      <c r="ER62" s="383"/>
      <c r="ES62" s="381"/>
      <c r="ET62" s="386" t="s">
        <v>411</v>
      </c>
      <c r="EU62" s="381"/>
      <c r="EV62" s="383"/>
      <c r="EW62" s="381"/>
      <c r="EX62" s="388"/>
      <c r="FJ62" s="389" t="s">
        <v>650</v>
      </c>
      <c r="FK62" s="390"/>
      <c r="FL62" s="391"/>
      <c r="FM62" s="390"/>
      <c r="FN62" s="392" t="s">
        <v>651</v>
      </c>
      <c r="FO62" s="390"/>
      <c r="FP62" s="391"/>
      <c r="FQ62" s="390"/>
      <c r="FR62" s="393"/>
      <c r="FT62" s="394" t="s">
        <v>432</v>
      </c>
      <c r="FU62" s="395"/>
      <c r="FV62" s="396"/>
      <c r="FW62" s="397"/>
      <c r="FX62" s="394" t="s">
        <v>436</v>
      </c>
      <c r="FY62" s="395"/>
      <c r="FZ62" s="396"/>
      <c r="GA62" s="397"/>
      <c r="GB62" s="394" t="s">
        <v>439</v>
      </c>
      <c r="GC62" s="395"/>
      <c r="GD62" s="396"/>
      <c r="GE62" s="398"/>
      <c r="GH62" s="394"/>
      <c r="GI62" s="395"/>
      <c r="GJ62" s="396"/>
      <c r="GK62" s="397"/>
      <c r="GL62" s="394"/>
      <c r="GM62" s="395"/>
      <c r="GN62" s="396"/>
      <c r="GO62" s="397"/>
      <c r="GP62" s="394"/>
      <c r="GQ62" s="395"/>
      <c r="GR62" s="396"/>
      <c r="GS62" s="397"/>
      <c r="GT62" s="394"/>
      <c r="GU62" s="395"/>
      <c r="GV62" s="396"/>
      <c r="GW62" s="398"/>
    </row>
    <row r="63" ht="15.0" customHeight="1">
      <c r="A63" s="44"/>
      <c r="B63" s="330"/>
      <c r="C63" s="331"/>
      <c r="D63" s="331"/>
      <c r="E63" s="332"/>
      <c r="F63" s="333"/>
      <c r="G63" s="331"/>
      <c r="H63" s="331"/>
      <c r="I63" s="331"/>
      <c r="J63" s="331"/>
      <c r="K63" s="331"/>
      <c r="L63" s="331"/>
      <c r="M63" s="331"/>
      <c r="N63" s="331"/>
      <c r="O63" s="331"/>
      <c r="P63" s="331"/>
      <c r="Q63" s="331"/>
      <c r="R63" s="331"/>
      <c r="S63" s="331"/>
      <c r="T63" s="331"/>
      <c r="U63" s="331"/>
      <c r="V63" s="331"/>
      <c r="W63" s="331"/>
      <c r="X63" s="331"/>
      <c r="Y63" s="331"/>
      <c r="Z63" s="331"/>
      <c r="AA63" s="331"/>
      <c r="AB63" s="331"/>
      <c r="AC63" s="331"/>
      <c r="AD63" s="331"/>
      <c r="AE63" s="331"/>
      <c r="AF63" s="331"/>
      <c r="AG63" s="331"/>
      <c r="AH63" s="331"/>
      <c r="AI63" s="332"/>
      <c r="AJ63" s="333"/>
      <c r="AK63" s="332"/>
      <c r="AL63" s="333"/>
      <c r="AM63" s="332"/>
      <c r="AN63" s="333"/>
      <c r="AO63" s="332"/>
      <c r="AP63" s="333"/>
      <c r="AQ63" s="332"/>
      <c r="AR63" s="333"/>
      <c r="AS63" s="332"/>
      <c r="AT63" s="333"/>
      <c r="AU63" s="332"/>
      <c r="AV63" s="333"/>
      <c r="AW63" s="332"/>
      <c r="AX63" s="333"/>
      <c r="AY63" s="332"/>
      <c r="AZ63" s="333"/>
      <c r="BA63" s="332"/>
      <c r="BB63" s="333"/>
      <c r="BC63" s="332"/>
      <c r="BD63" s="333"/>
      <c r="BE63" s="332"/>
      <c r="BF63" s="333"/>
      <c r="BG63" s="332"/>
      <c r="BH63" s="333"/>
      <c r="BI63" s="332"/>
      <c r="BJ63" s="333"/>
      <c r="BK63" s="332"/>
      <c r="BL63" s="334" t="s">
        <v>632</v>
      </c>
      <c r="BM63" s="158"/>
      <c r="BN63" s="158"/>
      <c r="BO63" s="159"/>
      <c r="BP63" s="335">
        <f>Sum(AJ62:BK63)</f>
        <v>0</v>
      </c>
      <c r="BQ63" s="158"/>
      <c r="BR63" s="159"/>
      <c r="BS63" s="334" t="s">
        <v>401</v>
      </c>
      <c r="BT63" s="158"/>
      <c r="BU63" s="158"/>
      <c r="BV63" s="159"/>
      <c r="BW63" s="335"/>
      <c r="BX63" s="158"/>
      <c r="BY63" s="159"/>
      <c r="BZ63" s="337" t="s">
        <v>633</v>
      </c>
      <c r="CA63" s="158"/>
      <c r="CB63" s="158"/>
      <c r="CC63" s="159"/>
      <c r="CD63" s="335"/>
      <c r="CE63" s="158"/>
      <c r="CF63" s="159"/>
      <c r="CG63" s="334"/>
      <c r="CH63" s="158"/>
      <c r="CI63" s="158"/>
      <c r="CJ63" s="159"/>
      <c r="CK63" s="399"/>
      <c r="CL63" s="158"/>
      <c r="CM63" s="340"/>
      <c r="CN63" s="318"/>
      <c r="CO63" s="353" t="s">
        <v>469</v>
      </c>
      <c r="CP63" s="46"/>
      <c r="CQ63" s="46"/>
      <c r="CR63" s="46"/>
      <c r="CS63" s="47"/>
      <c r="CT63" s="353" t="s">
        <v>648</v>
      </c>
      <c r="CU63" s="46"/>
      <c r="CV63" s="46"/>
      <c r="CW63" s="46"/>
      <c r="CX63" s="47"/>
      <c r="CY63" s="400" t="s">
        <v>629</v>
      </c>
      <c r="CZ63" s="46"/>
      <c r="DA63" s="46"/>
      <c r="DB63" s="46"/>
      <c r="DC63" s="47"/>
      <c r="DD63" s="353" t="s">
        <v>652</v>
      </c>
      <c r="DE63" s="46"/>
      <c r="DF63" s="46"/>
      <c r="DG63" s="46"/>
      <c r="DH63" s="46"/>
      <c r="DI63" s="46"/>
      <c r="DJ63" s="47"/>
      <c r="DK63" s="53"/>
      <c r="DL63" s="401" t="s">
        <v>653</v>
      </c>
      <c r="DM63" s="320"/>
      <c r="DN63" s="320"/>
      <c r="DO63" s="402"/>
      <c r="DP63" s="320"/>
      <c r="DQ63" s="320"/>
      <c r="DR63" s="403" t="s">
        <v>654</v>
      </c>
      <c r="DS63" s="402"/>
      <c r="DT63" s="320"/>
      <c r="DU63" s="322"/>
      <c r="DV63" s="404" t="s">
        <v>655</v>
      </c>
      <c r="DW63" s="405"/>
      <c r="DX63" s="405"/>
      <c r="DY63" s="405"/>
      <c r="DZ63" s="406"/>
      <c r="EA63" s="405"/>
      <c r="EB63" s="405"/>
      <c r="EC63" s="407"/>
      <c r="ED63" s="408" t="s">
        <v>547</v>
      </c>
      <c r="EE63" s="320"/>
      <c r="EF63" s="320"/>
      <c r="EG63" s="320"/>
      <c r="EH63" s="409"/>
      <c r="EI63" s="320"/>
      <c r="EJ63" s="320"/>
      <c r="EK63" s="320"/>
      <c r="EL63" s="409"/>
      <c r="EM63" s="320"/>
      <c r="EN63" s="320"/>
      <c r="EO63" s="320"/>
      <c r="EP63" s="409"/>
      <c r="EQ63" s="320"/>
      <c r="ER63" s="320"/>
      <c r="ES63" s="410"/>
      <c r="ET63" s="411" t="s">
        <v>402</v>
      </c>
      <c r="EU63" s="405"/>
      <c r="EV63" s="405"/>
      <c r="EW63" s="405"/>
      <c r="EX63" s="412"/>
      <c r="EY63" s="405"/>
      <c r="EZ63" s="405"/>
      <c r="FA63" s="405"/>
      <c r="FB63" s="412"/>
      <c r="FC63" s="405"/>
      <c r="FD63" s="405"/>
      <c r="FE63" s="405"/>
      <c r="FF63" s="412"/>
      <c r="FG63" s="405"/>
      <c r="FH63" s="405"/>
      <c r="FI63" s="405"/>
      <c r="FJ63" s="412"/>
      <c r="FK63" s="405"/>
      <c r="FL63" s="405"/>
      <c r="FM63" s="405"/>
      <c r="FN63" s="412"/>
      <c r="FO63" s="405"/>
      <c r="FP63" s="405"/>
      <c r="FQ63" s="407"/>
      <c r="FR63" s="319"/>
      <c r="FS63" s="320"/>
      <c r="FT63" s="413" t="s">
        <v>445</v>
      </c>
      <c r="FU63" s="414"/>
      <c r="FV63" s="415"/>
      <c r="FW63" s="416"/>
      <c r="FX63" s="413" t="s">
        <v>446</v>
      </c>
      <c r="FY63" s="414"/>
      <c r="FZ63" s="415"/>
      <c r="GA63" s="416"/>
      <c r="GB63" s="413" t="s">
        <v>450</v>
      </c>
      <c r="GC63" s="414"/>
      <c r="GD63" s="415"/>
      <c r="GE63" s="417"/>
      <c r="GF63" s="320"/>
      <c r="GG63" s="320"/>
      <c r="GH63" s="413"/>
      <c r="GI63" s="414"/>
      <c r="GJ63" s="415"/>
      <c r="GK63" s="416"/>
      <c r="GL63" s="413"/>
      <c r="GM63" s="414"/>
      <c r="GN63" s="415"/>
      <c r="GO63" s="416"/>
      <c r="GP63" s="413"/>
      <c r="GQ63" s="414"/>
      <c r="GR63" s="415"/>
      <c r="GS63" s="416"/>
      <c r="GT63" s="413"/>
      <c r="GU63" s="414"/>
      <c r="GV63" s="415"/>
      <c r="GW63" s="417"/>
    </row>
    <row r="64" ht="15.0" customHeight="1">
      <c r="A64" s="44"/>
      <c r="B64" s="342" t="s">
        <v>613</v>
      </c>
      <c r="C64" s="57"/>
      <c r="D64" s="57"/>
      <c r="E64" s="58"/>
      <c r="F64" s="343"/>
      <c r="G64" s="57"/>
      <c r="H64" s="57"/>
      <c r="I64" s="57"/>
      <c r="J64" s="57"/>
      <c r="K64" s="57"/>
      <c r="L64" s="57"/>
      <c r="M64" s="57"/>
      <c r="N64" s="57"/>
      <c r="O64" s="57"/>
      <c r="P64" s="57"/>
      <c r="Q64" s="57"/>
      <c r="R64" s="57"/>
      <c r="S64" s="57"/>
      <c r="T64" s="58"/>
      <c r="U64" s="344" t="s">
        <v>625</v>
      </c>
      <c r="V64" s="57"/>
      <c r="W64" s="57"/>
      <c r="X64" s="58"/>
      <c r="Y64" s="345"/>
      <c r="Z64" s="57"/>
      <c r="AA64" s="57"/>
      <c r="AB64" s="58"/>
      <c r="AC64" s="346" t="s">
        <v>615</v>
      </c>
      <c r="AD64" s="57"/>
      <c r="AE64" s="57"/>
      <c r="AF64" s="58"/>
      <c r="AG64" s="347"/>
      <c r="AH64" s="57"/>
      <c r="AI64" s="58"/>
      <c r="AJ64" s="348" t="s">
        <v>397</v>
      </c>
      <c r="AK64" s="58"/>
      <c r="AL64" s="348" t="s">
        <v>453</v>
      </c>
      <c r="AM64" s="58"/>
      <c r="AN64" s="348" t="s">
        <v>616</v>
      </c>
      <c r="AO64" s="58"/>
      <c r="AP64" s="349" t="s">
        <v>407</v>
      </c>
      <c r="AQ64" s="58"/>
      <c r="AR64" s="349" t="s">
        <v>408</v>
      </c>
      <c r="AS64" s="58"/>
      <c r="AT64" s="349" t="s">
        <v>409</v>
      </c>
      <c r="AU64" s="58"/>
      <c r="AV64" s="349" t="s">
        <v>410</v>
      </c>
      <c r="AW64" s="58"/>
      <c r="AX64" s="349" t="s">
        <v>617</v>
      </c>
      <c r="AY64" s="58"/>
      <c r="AZ64" s="349" t="s">
        <v>618</v>
      </c>
      <c r="BA64" s="58"/>
      <c r="BB64" s="349" t="s">
        <v>402</v>
      </c>
      <c r="BC64" s="58"/>
      <c r="BD64" s="349" t="s">
        <v>619</v>
      </c>
      <c r="BE64" s="58"/>
      <c r="BF64" s="349" t="s">
        <v>620</v>
      </c>
      <c r="BG64" s="58"/>
      <c r="BH64" s="349" t="s">
        <v>411</v>
      </c>
      <c r="BI64" s="58"/>
      <c r="BJ64" s="348" t="s">
        <v>411</v>
      </c>
      <c r="BK64" s="58"/>
      <c r="BL64" s="350"/>
      <c r="BM64" s="57"/>
      <c r="BN64" s="57"/>
      <c r="BO64" s="58"/>
      <c r="BP64" s="347"/>
      <c r="BQ64" s="57"/>
      <c r="BR64" s="58"/>
      <c r="BS64" s="350" t="s">
        <v>621</v>
      </c>
      <c r="BT64" s="57"/>
      <c r="BU64" s="57"/>
      <c r="BV64" s="58"/>
      <c r="BW64" s="347"/>
      <c r="BX64" s="57"/>
      <c r="BY64" s="58"/>
      <c r="BZ64" s="350" t="s">
        <v>622</v>
      </c>
      <c r="CA64" s="57"/>
      <c r="CB64" s="57"/>
      <c r="CC64" s="58"/>
      <c r="CD64" s="347"/>
      <c r="CE64" s="57"/>
      <c r="CF64" s="58"/>
      <c r="CG64" s="350" t="s">
        <v>623</v>
      </c>
      <c r="CH64" s="57"/>
      <c r="CI64" s="57"/>
      <c r="CJ64" s="58"/>
      <c r="CK64" s="351"/>
      <c r="CL64" s="57"/>
      <c r="CM64" s="352"/>
      <c r="CN64" s="318"/>
      <c r="CO64" s="418">
        <f>IF((CU58&amp;""="TRUE"),0,BM36+if((CY58&amp;""="TRUE"),BM36,0))</f>
        <v>2</v>
      </c>
      <c r="CP64" s="46"/>
      <c r="CQ64" s="46"/>
      <c r="CR64" s="46"/>
      <c r="CS64" s="47"/>
      <c r="CT64" s="419" t="str">
        <f>IF((CU58&amp;""="TRUE"),0,CW64)</f>
        <v/>
      </c>
      <c r="CU64" s="46"/>
      <c r="CV64" s="47"/>
      <c r="CW64" s="420"/>
      <c r="CX64" s="47"/>
      <c r="CY64" s="419">
        <f>IF((CU58&amp;""="TRUE"),0,IF((DC58&amp;""="TRUE"),DB64,0))</f>
        <v>0</v>
      </c>
      <c r="CZ64" s="46"/>
      <c r="DA64" s="47"/>
      <c r="DB64" s="420"/>
      <c r="DC64" s="47"/>
      <c r="DD64" s="421" t="s">
        <v>656</v>
      </c>
      <c r="DE64" s="46"/>
      <c r="DF64" s="46"/>
      <c r="DG64" s="46"/>
      <c r="DH64" s="46"/>
      <c r="DI64" s="46"/>
      <c r="DJ64" s="47"/>
      <c r="DK64" s="53"/>
      <c r="DL64" s="43"/>
      <c r="DM64" s="43"/>
      <c r="DN64" s="43"/>
      <c r="DO64" s="43"/>
      <c r="DP64" s="43"/>
      <c r="DQ64" s="43"/>
      <c r="DR64" s="43"/>
      <c r="DS64" s="43"/>
      <c r="DT64" s="43"/>
      <c r="DU64" s="43"/>
      <c r="DV64" s="43"/>
      <c r="DW64" s="43"/>
      <c r="DX64" s="43"/>
      <c r="DY64" s="43"/>
      <c r="DZ64" s="43"/>
      <c r="EA64" s="43"/>
      <c r="EB64" s="43"/>
      <c r="EC64" s="43"/>
      <c r="ED64" s="43"/>
      <c r="EE64" s="43"/>
      <c r="EF64" s="43"/>
      <c r="EG64" s="43"/>
      <c r="EH64" s="43"/>
      <c r="EI64" s="43"/>
      <c r="EJ64" s="43"/>
      <c r="EK64" s="43"/>
      <c r="EL64" s="43"/>
      <c r="EM64" s="43"/>
      <c r="EN64" s="43"/>
      <c r="EO64" s="43"/>
      <c r="EP64" s="43"/>
      <c r="EQ64" s="128"/>
      <c r="ER64" s="128"/>
      <c r="ES64" s="128"/>
      <c r="ET64" s="128"/>
      <c r="EU64" s="128"/>
      <c r="EV64" s="128"/>
      <c r="EW64" s="128"/>
      <c r="EX64" s="43"/>
      <c r="EY64" s="43"/>
      <c r="EZ64" s="43"/>
      <c r="FA64" s="43"/>
      <c r="FB64" s="128"/>
      <c r="FC64" s="128"/>
      <c r="FD64" s="128"/>
      <c r="FE64" s="128"/>
      <c r="FF64" s="43"/>
      <c r="FG64" s="43"/>
      <c r="FH64" s="43"/>
      <c r="FI64" s="43"/>
      <c r="FJ64" s="128"/>
      <c r="FK64" s="128"/>
      <c r="FL64" s="128"/>
      <c r="FM64" s="43"/>
      <c r="FN64" s="43"/>
      <c r="FO64" s="43"/>
      <c r="FP64" s="43"/>
      <c r="FQ64" s="43"/>
      <c r="FR64" s="43"/>
      <c r="FS64" s="43"/>
      <c r="FT64" s="43"/>
      <c r="FU64" s="43"/>
      <c r="FV64" s="43"/>
      <c r="FW64" s="43"/>
      <c r="FX64" s="43"/>
      <c r="FY64" s="43"/>
      <c r="FZ64" s="43"/>
      <c r="GA64" s="43"/>
      <c r="GB64" s="43"/>
      <c r="GC64" s="43"/>
      <c r="GD64" s="43"/>
      <c r="GE64" s="43"/>
      <c r="GF64" s="43"/>
      <c r="GG64" s="43"/>
      <c r="GH64" s="43"/>
      <c r="GI64" s="43"/>
      <c r="GJ64" s="43"/>
      <c r="GK64" s="43"/>
      <c r="GL64" s="43"/>
      <c r="GM64" s="43"/>
      <c r="GN64" s="43"/>
      <c r="GO64" s="43"/>
      <c r="GP64" s="43"/>
      <c r="GQ64" s="43"/>
      <c r="GR64" s="43"/>
      <c r="GS64" s="43"/>
      <c r="GT64" s="43"/>
      <c r="GU64" s="43"/>
      <c r="GV64" s="43"/>
      <c r="GW64" s="43"/>
    </row>
    <row r="65" ht="15.0" customHeight="1">
      <c r="A65" s="44"/>
      <c r="B65" s="316" t="s">
        <v>631</v>
      </c>
      <c r="C65" s="49"/>
      <c r="D65" s="49"/>
      <c r="E65" s="50"/>
      <c r="F65" s="376"/>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50"/>
      <c r="AJ65" s="73"/>
      <c r="AK65" s="50"/>
      <c r="AL65" s="73"/>
      <c r="AM65" s="50"/>
      <c r="AN65" s="73"/>
      <c r="AO65" s="50"/>
      <c r="AP65" s="73"/>
      <c r="AQ65" s="50"/>
      <c r="AR65" s="73"/>
      <c r="AS65" s="50"/>
      <c r="AT65" s="73"/>
      <c r="AU65" s="50"/>
      <c r="AV65" s="73"/>
      <c r="AW65" s="50"/>
      <c r="AX65" s="307"/>
      <c r="AY65" s="50"/>
      <c r="AZ65" s="73"/>
      <c r="BA65" s="50"/>
      <c r="BB65" s="73"/>
      <c r="BC65" s="50"/>
      <c r="BD65" s="73"/>
      <c r="BE65" s="50"/>
      <c r="BF65" s="73"/>
      <c r="BG65" s="50"/>
      <c r="BH65" s="73"/>
      <c r="BI65" s="50"/>
      <c r="BJ65" s="73"/>
      <c r="BK65" s="50"/>
      <c r="BL65" s="302"/>
      <c r="BM65" s="46"/>
      <c r="BN65" s="46"/>
      <c r="BO65" s="47"/>
      <c r="BP65" s="303"/>
      <c r="BQ65" s="46"/>
      <c r="BR65" s="47"/>
      <c r="BS65" s="302"/>
      <c r="BT65" s="46"/>
      <c r="BU65" s="46"/>
      <c r="BV65" s="47"/>
      <c r="BW65" s="303"/>
      <c r="BX65" s="46"/>
      <c r="BY65" s="47"/>
      <c r="BZ65" s="302"/>
      <c r="CA65" s="46"/>
      <c r="CB65" s="46"/>
      <c r="CC65" s="47"/>
      <c r="CD65" s="303"/>
      <c r="CE65" s="46"/>
      <c r="CF65" s="47"/>
      <c r="CG65" s="302"/>
      <c r="CH65" s="46"/>
      <c r="CI65" s="46"/>
      <c r="CJ65" s="47"/>
      <c r="CK65" s="303"/>
      <c r="CL65" s="46"/>
      <c r="CM65" s="74"/>
      <c r="CN65" s="318"/>
      <c r="CO65" s="353" t="s">
        <v>658</v>
      </c>
      <c r="CP65" s="46"/>
      <c r="CQ65" s="46"/>
      <c r="CR65" s="46"/>
      <c r="CS65" s="47"/>
      <c r="CT65" s="378" t="s">
        <v>659</v>
      </c>
      <c r="CU65" s="46"/>
      <c r="CV65" s="46"/>
      <c r="CW65" s="46"/>
      <c r="CX65" s="46"/>
      <c r="CY65" s="46"/>
      <c r="CZ65" s="47"/>
      <c r="DA65" s="422" t="s">
        <v>660</v>
      </c>
      <c r="DB65" s="46"/>
      <c r="DC65" s="46"/>
      <c r="DD65" s="46"/>
      <c r="DE65" s="46"/>
      <c r="DF65" s="46"/>
      <c r="DG65" s="46"/>
      <c r="DH65" s="46"/>
      <c r="DI65" s="46"/>
      <c r="DJ65" s="47"/>
      <c r="DK65" s="53"/>
      <c r="DL65" s="43"/>
      <c r="DM65" s="43"/>
      <c r="DN65" s="43"/>
      <c r="DO65" s="43"/>
      <c r="DP65" s="43"/>
      <c r="DQ65" s="43"/>
      <c r="DR65" s="43"/>
      <c r="DS65" s="43"/>
      <c r="DT65" s="43"/>
      <c r="DU65" s="43"/>
      <c r="DV65" s="43"/>
      <c r="DW65" s="43"/>
      <c r="DX65" s="43"/>
      <c r="DY65" s="43"/>
      <c r="DZ65" s="43"/>
      <c r="EA65" s="43"/>
      <c r="EB65" s="43"/>
      <c r="EC65" s="43"/>
      <c r="ED65" s="43"/>
      <c r="EE65" s="53"/>
      <c r="EF65" s="43"/>
      <c r="EG65" s="43"/>
      <c r="EH65" s="43"/>
      <c r="EI65" s="43"/>
      <c r="EJ65" s="43"/>
      <c r="EK65" s="43"/>
      <c r="EL65" s="43"/>
      <c r="EM65" s="43"/>
      <c r="EN65" s="43"/>
      <c r="EO65" s="43"/>
      <c r="EP65" s="43"/>
      <c r="EQ65" s="43"/>
      <c r="ER65" s="43"/>
      <c r="ES65" s="43"/>
      <c r="ET65" s="43"/>
      <c r="EU65" s="43"/>
      <c r="EV65" s="43"/>
      <c r="EW65" s="43"/>
      <c r="EX65" s="43"/>
      <c r="EY65" s="43"/>
      <c r="EZ65" s="43"/>
      <c r="FA65" s="43"/>
      <c r="FB65" s="43"/>
      <c r="FC65" s="43"/>
      <c r="FD65" s="43"/>
      <c r="FE65" s="43"/>
      <c r="FF65" s="43"/>
      <c r="FG65" s="43"/>
      <c r="FH65" s="43"/>
      <c r="FI65" s="128"/>
      <c r="FJ65" s="128"/>
      <c r="FK65" s="128"/>
      <c r="FL65" s="128"/>
      <c r="FM65" s="43"/>
      <c r="FN65" s="43"/>
      <c r="FO65" s="43"/>
      <c r="FP65" s="43"/>
      <c r="FQ65" s="43"/>
      <c r="FR65" s="43"/>
      <c r="FS65" s="43"/>
      <c r="FT65" s="43"/>
      <c r="FU65" s="43"/>
      <c r="FV65" s="43"/>
      <c r="FW65" s="43"/>
      <c r="FX65" s="43"/>
      <c r="FY65" s="43"/>
      <c r="FZ65" s="43"/>
      <c r="GA65" s="43"/>
      <c r="GB65" s="43"/>
      <c r="GC65" s="43"/>
      <c r="GD65" s="43"/>
      <c r="GE65" s="43"/>
      <c r="GF65" s="43"/>
      <c r="GG65" s="43"/>
      <c r="GH65" s="43"/>
      <c r="GI65" s="43"/>
      <c r="GJ65" s="43"/>
      <c r="GK65" s="43"/>
      <c r="GL65" s="43"/>
      <c r="GM65" s="43"/>
      <c r="GN65" s="43"/>
      <c r="GO65" s="43"/>
      <c r="GP65" s="43"/>
      <c r="GQ65" s="43"/>
      <c r="GR65" s="43"/>
      <c r="GS65" s="43"/>
      <c r="GT65" s="43"/>
      <c r="GU65" s="43"/>
      <c r="GV65" s="43"/>
      <c r="GW65" s="43"/>
    </row>
    <row r="66" ht="15.0" customHeight="1">
      <c r="A66" s="44"/>
      <c r="B66" s="330"/>
      <c r="C66" s="331"/>
      <c r="D66" s="331"/>
      <c r="E66" s="332"/>
      <c r="F66" s="333"/>
      <c r="G66" s="331"/>
      <c r="H66" s="331"/>
      <c r="I66" s="331"/>
      <c r="J66" s="331"/>
      <c r="K66" s="331"/>
      <c r="L66" s="331"/>
      <c r="M66" s="331"/>
      <c r="N66" s="331"/>
      <c r="O66" s="331"/>
      <c r="P66" s="331"/>
      <c r="Q66" s="331"/>
      <c r="R66" s="331"/>
      <c r="S66" s="331"/>
      <c r="T66" s="331"/>
      <c r="U66" s="331"/>
      <c r="V66" s="331"/>
      <c r="W66" s="331"/>
      <c r="X66" s="331"/>
      <c r="Y66" s="331"/>
      <c r="Z66" s="331"/>
      <c r="AA66" s="331"/>
      <c r="AB66" s="331"/>
      <c r="AC66" s="331"/>
      <c r="AD66" s="331"/>
      <c r="AE66" s="331"/>
      <c r="AF66" s="331"/>
      <c r="AG66" s="331"/>
      <c r="AH66" s="331"/>
      <c r="AI66" s="332"/>
      <c r="AJ66" s="333"/>
      <c r="AK66" s="332"/>
      <c r="AL66" s="333"/>
      <c r="AM66" s="332"/>
      <c r="AN66" s="333"/>
      <c r="AO66" s="332"/>
      <c r="AP66" s="333"/>
      <c r="AQ66" s="332"/>
      <c r="AR66" s="333"/>
      <c r="AS66" s="332"/>
      <c r="AT66" s="333"/>
      <c r="AU66" s="332"/>
      <c r="AV66" s="333"/>
      <c r="AW66" s="332"/>
      <c r="AX66" s="333"/>
      <c r="AY66" s="332"/>
      <c r="AZ66" s="333"/>
      <c r="BA66" s="332"/>
      <c r="BB66" s="333"/>
      <c r="BC66" s="332"/>
      <c r="BD66" s="333"/>
      <c r="BE66" s="332"/>
      <c r="BF66" s="333"/>
      <c r="BG66" s="332"/>
      <c r="BH66" s="333"/>
      <c r="BI66" s="332"/>
      <c r="BJ66" s="333"/>
      <c r="BK66" s="332"/>
      <c r="BL66" s="334" t="s">
        <v>632</v>
      </c>
      <c r="BM66" s="158"/>
      <c r="BN66" s="158"/>
      <c r="BO66" s="159"/>
      <c r="BP66" s="335">
        <f>Sum(AJ65:BK66)</f>
        <v>0</v>
      </c>
      <c r="BQ66" s="158"/>
      <c r="BR66" s="159"/>
      <c r="BS66" s="334" t="s">
        <v>401</v>
      </c>
      <c r="BT66" s="158"/>
      <c r="BU66" s="158"/>
      <c r="BV66" s="159"/>
      <c r="BW66" s="335"/>
      <c r="BX66" s="158"/>
      <c r="BY66" s="159"/>
      <c r="BZ66" s="337" t="s">
        <v>633</v>
      </c>
      <c r="CA66" s="158"/>
      <c r="CB66" s="158"/>
      <c r="CC66" s="159"/>
      <c r="CD66" s="335"/>
      <c r="CE66" s="158"/>
      <c r="CF66" s="159"/>
      <c r="CG66" s="334"/>
      <c r="CH66" s="158"/>
      <c r="CI66" s="158"/>
      <c r="CJ66" s="159"/>
      <c r="CK66" s="399"/>
      <c r="CL66" s="158"/>
      <c r="CM66" s="340"/>
      <c r="CN66" s="318"/>
      <c r="CO66" s="419" t="str">
        <f>CR66</f>
        <v/>
      </c>
      <c r="CP66" s="46"/>
      <c r="CQ66" s="47"/>
      <c r="CR66" s="420"/>
      <c r="CS66" s="47"/>
      <c r="CT66" s="420"/>
      <c r="CU66" s="46"/>
      <c r="CV66" s="47"/>
      <c r="CW66" s="423" t="s">
        <v>654</v>
      </c>
      <c r="CX66" s="420"/>
      <c r="CY66" s="46"/>
      <c r="CZ66" s="47"/>
      <c r="DA66" s="418">
        <f>IF((DC58&amp;""="TRUE"),DD66,0)</f>
        <v>0</v>
      </c>
      <c r="DB66" s="46"/>
      <c r="DC66" s="47"/>
      <c r="DD66" s="420"/>
      <c r="DE66" s="47"/>
      <c r="DF66" s="418">
        <f>IF((DC58&amp;""="TRUE"),DI66,0)</f>
        <v>0</v>
      </c>
      <c r="DG66" s="46"/>
      <c r="DH66" s="47"/>
      <c r="DI66" s="420"/>
      <c r="DJ66" s="47"/>
      <c r="DK66" s="53"/>
      <c r="DL66" s="43"/>
      <c r="DM66" s="43"/>
      <c r="DN66" s="43"/>
      <c r="DO66" s="43"/>
      <c r="DP66" s="43"/>
      <c r="DQ66" s="43"/>
      <c r="DR66" s="43"/>
      <c r="DS66" s="43"/>
      <c r="DT66" s="43"/>
      <c r="DU66" s="43"/>
      <c r="DV66" s="43"/>
      <c r="DW66" s="43"/>
      <c r="DX66" s="43"/>
      <c r="DY66" s="43"/>
      <c r="DZ66" s="43"/>
      <c r="EA66" s="43"/>
      <c r="EB66" s="43"/>
      <c r="EC66" s="43"/>
      <c r="ED66" s="43"/>
      <c r="EE66" s="53"/>
      <c r="EF66" s="43"/>
      <c r="EG66" s="43"/>
      <c r="EH66" s="43"/>
      <c r="EI66" s="43"/>
      <c r="EJ66" s="43"/>
      <c r="EK66" s="43"/>
      <c r="EL66" s="43"/>
      <c r="EM66" s="43"/>
      <c r="EN66" s="43"/>
      <c r="EO66" s="43"/>
      <c r="EP66" s="43"/>
      <c r="EQ66" s="43"/>
      <c r="ER66" s="43"/>
      <c r="ES66" s="43"/>
      <c r="ET66" s="43"/>
      <c r="EU66" s="43"/>
      <c r="EV66" s="43"/>
      <c r="EW66" s="43"/>
      <c r="EX66" s="43"/>
      <c r="EY66" s="43"/>
      <c r="EZ66" s="43"/>
      <c r="FA66" s="43"/>
      <c r="FB66" s="43"/>
      <c r="FC66" s="43"/>
      <c r="FD66" s="43"/>
      <c r="FE66" s="43"/>
      <c r="FF66" s="43"/>
      <c r="FG66" s="43"/>
      <c r="FH66" s="43"/>
      <c r="FI66" s="43"/>
      <c r="FJ66" s="43"/>
      <c r="FK66" s="43"/>
      <c r="FL66" s="43"/>
      <c r="FM66" s="43"/>
      <c r="FN66" s="43"/>
      <c r="FO66" s="43"/>
      <c r="FP66" s="43"/>
      <c r="FQ66" s="43"/>
      <c r="FR66" s="43"/>
      <c r="FS66" s="43"/>
      <c r="FT66" s="43"/>
      <c r="FU66" s="43"/>
      <c r="FV66" s="43"/>
      <c r="FW66" s="43"/>
      <c r="FX66" s="43"/>
      <c r="FY66" s="43"/>
      <c r="FZ66" s="43"/>
      <c r="GA66" s="43"/>
      <c r="GB66" s="43"/>
      <c r="GC66" s="43"/>
      <c r="GD66" s="43"/>
      <c r="GE66" s="43"/>
      <c r="GF66" s="43"/>
      <c r="GG66" s="43"/>
      <c r="GH66" s="43"/>
      <c r="GI66" s="43"/>
      <c r="GJ66" s="43"/>
      <c r="GK66" s="43"/>
      <c r="GL66" s="43"/>
      <c r="GM66" s="43"/>
      <c r="GN66" s="43"/>
      <c r="GO66" s="43"/>
      <c r="GP66" s="43"/>
      <c r="GQ66" s="43"/>
      <c r="GR66" s="43"/>
      <c r="GS66" s="43"/>
      <c r="GT66" s="43"/>
      <c r="GU66" s="43"/>
      <c r="GV66" s="43"/>
      <c r="GW66" s="43"/>
    </row>
    <row r="67" ht="15.0" customHeight="1">
      <c r="A67" s="44"/>
      <c r="B67" s="342" t="s">
        <v>613</v>
      </c>
      <c r="C67" s="57"/>
      <c r="D67" s="57"/>
      <c r="E67" s="58"/>
      <c r="F67" s="343"/>
      <c r="G67" s="57"/>
      <c r="H67" s="57"/>
      <c r="I67" s="57"/>
      <c r="J67" s="57"/>
      <c r="K67" s="57"/>
      <c r="L67" s="57"/>
      <c r="M67" s="57"/>
      <c r="N67" s="57"/>
      <c r="O67" s="57"/>
      <c r="P67" s="57"/>
      <c r="Q67" s="57"/>
      <c r="R67" s="57"/>
      <c r="S67" s="57"/>
      <c r="T67" s="58"/>
      <c r="U67" s="344" t="s">
        <v>625</v>
      </c>
      <c r="V67" s="57"/>
      <c r="W67" s="57"/>
      <c r="X67" s="58"/>
      <c r="Y67" s="345"/>
      <c r="Z67" s="57"/>
      <c r="AA67" s="57"/>
      <c r="AB67" s="58"/>
      <c r="AC67" s="346" t="s">
        <v>615</v>
      </c>
      <c r="AD67" s="57"/>
      <c r="AE67" s="57"/>
      <c r="AF67" s="58"/>
      <c r="AG67" s="347"/>
      <c r="AH67" s="57"/>
      <c r="AI67" s="58"/>
      <c r="AJ67" s="348" t="s">
        <v>397</v>
      </c>
      <c r="AK67" s="58"/>
      <c r="AL67" s="348" t="s">
        <v>453</v>
      </c>
      <c r="AM67" s="58"/>
      <c r="AN67" s="348" t="s">
        <v>616</v>
      </c>
      <c r="AO67" s="58"/>
      <c r="AP67" s="349" t="s">
        <v>407</v>
      </c>
      <c r="AQ67" s="58"/>
      <c r="AR67" s="349" t="s">
        <v>408</v>
      </c>
      <c r="AS67" s="58"/>
      <c r="AT67" s="349" t="s">
        <v>409</v>
      </c>
      <c r="AU67" s="58"/>
      <c r="AV67" s="349" t="s">
        <v>410</v>
      </c>
      <c r="AW67" s="58"/>
      <c r="AX67" s="349" t="s">
        <v>617</v>
      </c>
      <c r="AY67" s="58"/>
      <c r="AZ67" s="349" t="s">
        <v>618</v>
      </c>
      <c r="BA67" s="58"/>
      <c r="BB67" s="349" t="s">
        <v>402</v>
      </c>
      <c r="BC67" s="58"/>
      <c r="BD67" s="349" t="s">
        <v>619</v>
      </c>
      <c r="BE67" s="58"/>
      <c r="BF67" s="349" t="s">
        <v>620</v>
      </c>
      <c r="BG67" s="58"/>
      <c r="BH67" s="349" t="s">
        <v>411</v>
      </c>
      <c r="BI67" s="58"/>
      <c r="BJ67" s="348" t="s">
        <v>411</v>
      </c>
      <c r="BK67" s="58"/>
      <c r="BL67" s="350"/>
      <c r="BM67" s="57"/>
      <c r="BN67" s="57"/>
      <c r="BO67" s="58"/>
      <c r="BP67" s="347"/>
      <c r="BQ67" s="57"/>
      <c r="BR67" s="58"/>
      <c r="BS67" s="350" t="s">
        <v>621</v>
      </c>
      <c r="BT67" s="57"/>
      <c r="BU67" s="57"/>
      <c r="BV67" s="58"/>
      <c r="BW67" s="347"/>
      <c r="BX67" s="57"/>
      <c r="BY67" s="58"/>
      <c r="BZ67" s="350" t="s">
        <v>622</v>
      </c>
      <c r="CA67" s="57"/>
      <c r="CB67" s="57"/>
      <c r="CC67" s="58"/>
      <c r="CD67" s="351"/>
      <c r="CE67" s="57"/>
      <c r="CF67" s="58"/>
      <c r="CG67" s="350" t="s">
        <v>623</v>
      </c>
      <c r="CH67" s="57"/>
      <c r="CI67" s="57"/>
      <c r="CJ67" s="58"/>
      <c r="CK67" s="347"/>
      <c r="CL67" s="57"/>
      <c r="CM67" s="352"/>
      <c r="CN67" s="318"/>
      <c r="CO67" s="353" t="s">
        <v>661</v>
      </c>
      <c r="CP67" s="46"/>
      <c r="CQ67" s="46"/>
      <c r="CR67" s="46"/>
      <c r="CS67" s="47"/>
      <c r="CT67" s="353" t="s">
        <v>662</v>
      </c>
      <c r="CU67" s="46"/>
      <c r="CV67" s="46"/>
      <c r="CW67" s="46"/>
      <c r="CX67" s="47"/>
      <c r="CY67" s="353" t="s">
        <v>663</v>
      </c>
      <c r="CZ67" s="46"/>
      <c r="DA67" s="46"/>
      <c r="DB67" s="46"/>
      <c r="DC67" s="47"/>
      <c r="DD67" s="424" t="s">
        <v>664</v>
      </c>
      <c r="DE67" s="46"/>
      <c r="DF67" s="46"/>
      <c r="DG67" s="46"/>
      <c r="DH67" s="46"/>
      <c r="DI67" s="46"/>
      <c r="DJ67" s="47"/>
      <c r="DK67" s="53"/>
      <c r="DL67" s="43"/>
      <c r="DM67" s="43"/>
      <c r="DN67" s="43"/>
      <c r="DO67" s="43"/>
      <c r="DP67" s="43"/>
      <c r="DQ67" s="43"/>
      <c r="DR67" s="43"/>
      <c r="DS67" s="43"/>
      <c r="DT67" s="43"/>
      <c r="DU67" s="43"/>
      <c r="DV67" s="43"/>
      <c r="DW67" s="43"/>
      <c r="DX67" s="43"/>
      <c r="DY67" s="43"/>
      <c r="DZ67" s="43"/>
      <c r="EA67" s="43"/>
      <c r="EB67" s="43"/>
      <c r="EC67" s="43"/>
      <c r="ED67" s="43"/>
      <c r="EE67" s="53"/>
      <c r="EF67" s="43"/>
      <c r="EG67" s="43"/>
      <c r="EH67" s="43"/>
      <c r="EI67" s="43"/>
      <c r="EJ67" s="43"/>
      <c r="EK67" s="43"/>
      <c r="EL67" s="43"/>
      <c r="EM67" s="43"/>
      <c r="EN67" s="43"/>
      <c r="EO67" s="43"/>
      <c r="EP67" s="43"/>
      <c r="EQ67" s="43"/>
      <c r="ER67" s="43"/>
      <c r="ES67" s="43"/>
      <c r="ET67" s="43"/>
      <c r="EU67" s="43"/>
      <c r="EV67" s="43"/>
      <c r="EW67" s="43"/>
      <c r="EX67" s="43"/>
      <c r="EY67" s="43"/>
      <c r="EZ67" s="43"/>
      <c r="FA67" s="43"/>
      <c r="FB67" s="43"/>
      <c r="FC67" s="43"/>
      <c r="FD67" s="43"/>
      <c r="FE67" s="43"/>
      <c r="FF67" s="43"/>
      <c r="FG67" s="43"/>
      <c r="FH67" s="43"/>
      <c r="FI67" s="43"/>
      <c r="FJ67" s="43"/>
      <c r="FK67" s="43"/>
      <c r="FL67" s="43"/>
      <c r="FM67" s="43"/>
      <c r="FN67" s="43"/>
      <c r="FO67" s="43"/>
      <c r="FP67" s="43"/>
      <c r="FQ67" s="43"/>
      <c r="FR67" s="43"/>
      <c r="FS67" s="43"/>
      <c r="FT67" s="43"/>
      <c r="FU67" s="43"/>
      <c r="FV67" s="43"/>
      <c r="FW67" s="43"/>
      <c r="FX67" s="43"/>
      <c r="FY67" s="43"/>
      <c r="FZ67" s="43"/>
      <c r="GA67" s="43"/>
      <c r="GB67" s="43"/>
      <c r="GC67" s="43"/>
      <c r="GD67" s="43"/>
      <c r="GE67" s="43"/>
      <c r="GF67" s="43"/>
      <c r="GG67" s="43"/>
      <c r="GH67" s="43"/>
      <c r="GI67" s="43"/>
      <c r="GJ67" s="43"/>
      <c r="GK67" s="43"/>
      <c r="GL67" s="43"/>
      <c r="GM67" s="43"/>
      <c r="GN67" s="43"/>
      <c r="GO67" s="43"/>
      <c r="GP67" s="43"/>
      <c r="GQ67" s="43"/>
      <c r="GR67" s="43"/>
      <c r="GS67" s="43"/>
      <c r="GT67" s="43"/>
      <c r="GU67" s="43"/>
      <c r="GV67" s="43"/>
      <c r="GW67" s="43"/>
    </row>
    <row r="68" ht="15.0" customHeight="1">
      <c r="A68" s="44"/>
      <c r="B68" s="316" t="s">
        <v>631</v>
      </c>
      <c r="C68" s="49"/>
      <c r="D68" s="49"/>
      <c r="E68" s="50"/>
      <c r="F68" s="376"/>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50"/>
      <c r="AJ68" s="73"/>
      <c r="AK68" s="50"/>
      <c r="AL68" s="73"/>
      <c r="AM68" s="50"/>
      <c r="AN68" s="73"/>
      <c r="AO68" s="50"/>
      <c r="AP68" s="307"/>
      <c r="AQ68" s="50"/>
      <c r="AR68" s="73"/>
      <c r="AS68" s="50"/>
      <c r="AT68" s="73"/>
      <c r="AU68" s="50"/>
      <c r="AV68" s="73"/>
      <c r="AW68" s="50"/>
      <c r="AX68" s="73"/>
      <c r="AY68" s="50"/>
      <c r="AZ68" s="73"/>
      <c r="BA68" s="50"/>
      <c r="BB68" s="73"/>
      <c r="BC68" s="50"/>
      <c r="BD68" s="73"/>
      <c r="BE68" s="50"/>
      <c r="BF68" s="73"/>
      <c r="BG68" s="50"/>
      <c r="BH68" s="73"/>
      <c r="BI68" s="50"/>
      <c r="BJ68" s="73"/>
      <c r="BK68" s="50"/>
      <c r="BL68" s="302"/>
      <c r="BM68" s="46"/>
      <c r="BN68" s="46"/>
      <c r="BO68" s="47"/>
      <c r="BP68" s="303"/>
      <c r="BQ68" s="46"/>
      <c r="BR68" s="47"/>
      <c r="BS68" s="302"/>
      <c r="BT68" s="46"/>
      <c r="BU68" s="46"/>
      <c r="BV68" s="47"/>
      <c r="BW68" s="303"/>
      <c r="BX68" s="46"/>
      <c r="BY68" s="47"/>
      <c r="BZ68" s="302"/>
      <c r="CA68" s="46"/>
      <c r="CB68" s="46"/>
      <c r="CC68" s="47"/>
      <c r="CD68" s="303"/>
      <c r="CE68" s="46"/>
      <c r="CF68" s="47"/>
      <c r="CG68" s="302"/>
      <c r="CH68" s="46"/>
      <c r="CI68" s="46"/>
      <c r="CJ68" s="47"/>
      <c r="CK68" s="303"/>
      <c r="CL68" s="46"/>
      <c r="CM68" s="74"/>
      <c r="CN68" s="318"/>
      <c r="CO68" s="418" t="str">
        <f>CR68</f>
        <v/>
      </c>
      <c r="CP68" s="46"/>
      <c r="CQ68" s="47"/>
      <c r="CR68" s="420"/>
      <c r="CS68" s="47"/>
      <c r="CT68" s="418" t="str">
        <f>CW68</f>
        <v/>
      </c>
      <c r="CU68" s="46"/>
      <c r="CV68" s="47"/>
      <c r="CW68" s="420"/>
      <c r="CX68" s="47"/>
      <c r="CY68" s="419" t="str">
        <f>DB68</f>
        <v/>
      </c>
      <c r="CZ68" s="46"/>
      <c r="DA68" s="47"/>
      <c r="DB68" s="420"/>
      <c r="DC68" s="47"/>
      <c r="DD68" s="420"/>
      <c r="DE68" s="46"/>
      <c r="DF68" s="47"/>
      <c r="DG68" s="418" t="s">
        <v>666</v>
      </c>
      <c r="DH68" s="46"/>
      <c r="DI68" s="46"/>
      <c r="DJ68" s="47"/>
      <c r="DK68" s="53"/>
      <c r="DL68" s="43"/>
      <c r="DM68" s="43"/>
      <c r="DN68" s="43"/>
      <c r="DO68" s="43"/>
      <c r="DP68" s="43"/>
      <c r="DQ68" s="43"/>
      <c r="DR68" s="43"/>
      <c r="DS68" s="43"/>
      <c r="DT68" s="43"/>
      <c r="DU68" s="43"/>
      <c r="DV68" s="43"/>
      <c r="DW68" s="43"/>
      <c r="DX68" s="43"/>
      <c r="DY68" s="43"/>
      <c r="DZ68" s="43"/>
      <c r="EA68" s="43"/>
      <c r="EB68" s="43"/>
      <c r="EC68" s="43"/>
      <c r="ED68" s="43"/>
      <c r="EE68" s="53"/>
      <c r="EF68" s="43"/>
      <c r="EG68" s="43"/>
      <c r="EH68" s="43"/>
      <c r="EI68" s="43"/>
      <c r="EJ68" s="43"/>
      <c r="EK68" s="43"/>
      <c r="EL68" s="43"/>
      <c r="EM68" s="43"/>
      <c r="EN68" s="43"/>
      <c r="EO68" s="43"/>
      <c r="EP68" s="43"/>
      <c r="EQ68" s="43"/>
      <c r="ER68" s="43"/>
      <c r="ES68" s="43"/>
      <c r="ET68" s="43"/>
      <c r="EU68" s="43"/>
      <c r="EV68" s="43"/>
      <c r="EW68" s="43"/>
      <c r="EX68" s="43"/>
      <c r="EY68" s="43"/>
      <c r="EZ68" s="43"/>
      <c r="FA68" s="43"/>
      <c r="FB68" s="43"/>
      <c r="FC68" s="43"/>
      <c r="FD68" s="43"/>
      <c r="FE68" s="43"/>
      <c r="FF68" s="43"/>
      <c r="FG68" s="43"/>
      <c r="FH68" s="43"/>
      <c r="FI68" s="43"/>
      <c r="FJ68" s="43"/>
      <c r="FK68" s="43"/>
      <c r="FL68" s="43"/>
      <c r="FM68" s="43"/>
      <c r="FN68" s="43"/>
      <c r="FO68" s="43"/>
      <c r="FP68" s="43"/>
      <c r="FQ68" s="43"/>
      <c r="FR68" s="43"/>
      <c r="FS68" s="43"/>
      <c r="FT68" s="43"/>
      <c r="FU68" s="43"/>
      <c r="FV68" s="43"/>
      <c r="FW68" s="43"/>
      <c r="FX68" s="43"/>
      <c r="FY68" s="43"/>
      <c r="FZ68" s="43"/>
      <c r="GA68" s="43"/>
      <c r="GB68" s="43"/>
      <c r="GC68" s="43"/>
      <c r="GD68" s="43"/>
      <c r="GE68" s="43"/>
      <c r="GF68" s="43"/>
      <c r="GG68" s="43"/>
      <c r="GH68" s="43"/>
      <c r="GI68" s="43"/>
      <c r="GJ68" s="43"/>
      <c r="GK68" s="43"/>
      <c r="GL68" s="43"/>
      <c r="GM68" s="43"/>
      <c r="GN68" s="43"/>
      <c r="GO68" s="43"/>
      <c r="GP68" s="43"/>
      <c r="GQ68" s="43"/>
      <c r="GR68" s="43"/>
      <c r="GS68" s="43"/>
      <c r="GT68" s="43"/>
      <c r="GU68" s="43"/>
      <c r="GV68" s="43"/>
      <c r="GW68" s="43"/>
    </row>
    <row r="69" ht="15.0" customHeight="1">
      <c r="A69" s="44"/>
      <c r="B69" s="330"/>
      <c r="C69" s="331"/>
      <c r="D69" s="331"/>
      <c r="E69" s="332"/>
      <c r="F69" s="333"/>
      <c r="G69" s="331"/>
      <c r="H69" s="331"/>
      <c r="I69" s="331"/>
      <c r="J69" s="331"/>
      <c r="K69" s="331"/>
      <c r="L69" s="331"/>
      <c r="M69" s="331"/>
      <c r="N69" s="331"/>
      <c r="O69" s="331"/>
      <c r="P69" s="331"/>
      <c r="Q69" s="331"/>
      <c r="R69" s="331"/>
      <c r="S69" s="331"/>
      <c r="T69" s="331"/>
      <c r="U69" s="331"/>
      <c r="V69" s="331"/>
      <c r="W69" s="331"/>
      <c r="X69" s="331"/>
      <c r="Y69" s="331"/>
      <c r="Z69" s="331"/>
      <c r="AA69" s="331"/>
      <c r="AB69" s="331"/>
      <c r="AC69" s="331"/>
      <c r="AD69" s="331"/>
      <c r="AE69" s="331"/>
      <c r="AF69" s="331"/>
      <c r="AG69" s="331"/>
      <c r="AH69" s="331"/>
      <c r="AI69" s="332"/>
      <c r="AJ69" s="333"/>
      <c r="AK69" s="332"/>
      <c r="AL69" s="333"/>
      <c r="AM69" s="332"/>
      <c r="AN69" s="333"/>
      <c r="AO69" s="332"/>
      <c r="AP69" s="333"/>
      <c r="AQ69" s="332"/>
      <c r="AR69" s="333"/>
      <c r="AS69" s="332"/>
      <c r="AT69" s="333"/>
      <c r="AU69" s="332"/>
      <c r="AV69" s="333"/>
      <c r="AW69" s="332"/>
      <c r="AX69" s="333"/>
      <c r="AY69" s="332"/>
      <c r="AZ69" s="333"/>
      <c r="BA69" s="332"/>
      <c r="BB69" s="333"/>
      <c r="BC69" s="332"/>
      <c r="BD69" s="333"/>
      <c r="BE69" s="332"/>
      <c r="BF69" s="333"/>
      <c r="BG69" s="332"/>
      <c r="BH69" s="333"/>
      <c r="BI69" s="332"/>
      <c r="BJ69" s="333"/>
      <c r="BK69" s="332"/>
      <c r="BL69" s="334" t="s">
        <v>632</v>
      </c>
      <c r="BM69" s="158"/>
      <c r="BN69" s="158"/>
      <c r="BO69" s="159"/>
      <c r="BP69" s="335">
        <f>Sum(AJ68:BK69)</f>
        <v>0</v>
      </c>
      <c r="BQ69" s="158"/>
      <c r="BR69" s="159"/>
      <c r="BS69" s="334" t="s">
        <v>401</v>
      </c>
      <c r="BT69" s="158"/>
      <c r="BU69" s="158"/>
      <c r="BV69" s="159"/>
      <c r="BW69" s="335"/>
      <c r="BX69" s="158"/>
      <c r="BY69" s="159"/>
      <c r="BZ69" s="337" t="s">
        <v>633</v>
      </c>
      <c r="CA69" s="158"/>
      <c r="CB69" s="158"/>
      <c r="CC69" s="159"/>
      <c r="CD69" s="335"/>
      <c r="CE69" s="158"/>
      <c r="CF69" s="159"/>
      <c r="CG69" s="334"/>
      <c r="CH69" s="158"/>
      <c r="CI69" s="158"/>
      <c r="CJ69" s="159"/>
      <c r="CK69" s="399"/>
      <c r="CL69" s="158"/>
      <c r="CM69" s="340"/>
      <c r="CN69" s="318"/>
      <c r="CO69" s="353" t="s">
        <v>667</v>
      </c>
      <c r="CP69" s="46"/>
      <c r="CQ69" s="46"/>
      <c r="CR69" s="46"/>
      <c r="CS69" s="47"/>
      <c r="CT69" s="353" t="s">
        <v>668</v>
      </c>
      <c r="CU69" s="46"/>
      <c r="CV69" s="46"/>
      <c r="CW69" s="46"/>
      <c r="CX69" s="47"/>
      <c r="CY69" s="353" t="s">
        <v>669</v>
      </c>
      <c r="CZ69" s="46"/>
      <c r="DA69" s="46"/>
      <c r="DB69" s="46"/>
      <c r="DC69" s="47"/>
      <c r="DD69" s="424" t="s">
        <v>670</v>
      </c>
      <c r="DE69" s="46"/>
      <c r="DF69" s="46"/>
      <c r="DG69" s="46"/>
      <c r="DH69" s="46"/>
      <c r="DI69" s="46"/>
      <c r="DJ69" s="47"/>
      <c r="DK69" s="53"/>
      <c r="DL69" s="43"/>
      <c r="DM69" s="43"/>
      <c r="DN69" s="43"/>
      <c r="DO69" s="43"/>
      <c r="DP69" s="43"/>
      <c r="DQ69" s="43"/>
      <c r="DR69" s="43"/>
      <c r="DS69" s="43"/>
      <c r="DT69" s="43"/>
      <c r="DU69" s="43"/>
      <c r="DV69" s="43"/>
      <c r="DW69" s="43"/>
      <c r="DX69" s="43"/>
      <c r="DY69" s="43"/>
      <c r="DZ69" s="43"/>
      <c r="EA69" s="43"/>
      <c r="EB69" s="43"/>
      <c r="EC69" s="43"/>
      <c r="ED69" s="43"/>
      <c r="EE69" s="53"/>
      <c r="EF69" s="43"/>
      <c r="EG69" s="43"/>
      <c r="EH69" s="43"/>
      <c r="EI69" s="43"/>
      <c r="EJ69" s="43"/>
      <c r="EK69" s="43"/>
      <c r="EL69" s="43"/>
      <c r="EM69" s="43"/>
      <c r="EN69" s="43"/>
      <c r="EO69" s="43"/>
      <c r="EP69" s="43"/>
      <c r="EQ69" s="43"/>
      <c r="ER69" s="43"/>
      <c r="ES69" s="43"/>
      <c r="ET69" s="43"/>
      <c r="EU69" s="43"/>
      <c r="EV69" s="43"/>
      <c r="EW69" s="43"/>
      <c r="EX69" s="43"/>
      <c r="EY69" s="43"/>
      <c r="EZ69" s="43"/>
      <c r="FA69" s="43"/>
      <c r="FB69" s="43"/>
      <c r="FC69" s="43"/>
      <c r="FD69" s="43"/>
      <c r="FE69" s="43"/>
      <c r="FF69" s="43"/>
      <c r="FG69" s="43"/>
      <c r="FH69" s="43"/>
      <c r="FI69" s="43"/>
      <c r="FJ69" s="43"/>
      <c r="FK69" s="43"/>
      <c r="FL69" s="43"/>
      <c r="FM69" s="43"/>
      <c r="FN69" s="43"/>
      <c r="FO69" s="43"/>
      <c r="FP69" s="43"/>
      <c r="FQ69" s="43"/>
      <c r="FR69" s="43"/>
      <c r="FS69" s="43"/>
      <c r="FT69" s="43"/>
      <c r="FU69" s="43"/>
      <c r="FV69" s="43"/>
      <c r="FW69" s="43"/>
      <c r="FX69" s="43"/>
      <c r="FY69" s="43"/>
      <c r="FZ69" s="43"/>
      <c r="GA69" s="43"/>
      <c r="GB69" s="43"/>
      <c r="GC69" s="43"/>
      <c r="GD69" s="43"/>
      <c r="GE69" s="43"/>
      <c r="GF69" s="43"/>
      <c r="GG69" s="43"/>
      <c r="GH69" s="43"/>
      <c r="GI69" s="43"/>
      <c r="GJ69" s="43"/>
      <c r="GK69" s="43"/>
      <c r="GL69" s="43"/>
      <c r="GM69" s="43"/>
      <c r="GN69" s="43"/>
      <c r="GO69" s="43"/>
      <c r="GP69" s="43"/>
      <c r="GQ69" s="43"/>
      <c r="GR69" s="43"/>
      <c r="GS69" s="43"/>
      <c r="GT69" s="43"/>
      <c r="GU69" s="43"/>
      <c r="GV69" s="43"/>
      <c r="GW69" s="43"/>
    </row>
    <row r="70" ht="15.0" customHeight="1">
      <c r="A70" s="44"/>
      <c r="B70" s="342" t="s">
        <v>613</v>
      </c>
      <c r="C70" s="57"/>
      <c r="D70" s="57"/>
      <c r="E70" s="58"/>
      <c r="F70" s="343"/>
      <c r="G70" s="57"/>
      <c r="H70" s="57"/>
      <c r="I70" s="57"/>
      <c r="J70" s="57"/>
      <c r="K70" s="57"/>
      <c r="L70" s="57"/>
      <c r="M70" s="57"/>
      <c r="N70" s="57"/>
      <c r="O70" s="57"/>
      <c r="P70" s="57"/>
      <c r="Q70" s="57"/>
      <c r="R70" s="57"/>
      <c r="S70" s="57"/>
      <c r="T70" s="58"/>
      <c r="U70" s="344" t="s">
        <v>625</v>
      </c>
      <c r="V70" s="57"/>
      <c r="W70" s="57"/>
      <c r="X70" s="58"/>
      <c r="Y70" s="345"/>
      <c r="Z70" s="57"/>
      <c r="AA70" s="57"/>
      <c r="AB70" s="58"/>
      <c r="AC70" s="346" t="s">
        <v>615</v>
      </c>
      <c r="AD70" s="57"/>
      <c r="AE70" s="57"/>
      <c r="AF70" s="58"/>
      <c r="AG70" s="347"/>
      <c r="AH70" s="57"/>
      <c r="AI70" s="58"/>
      <c r="AJ70" s="348" t="s">
        <v>397</v>
      </c>
      <c r="AK70" s="58"/>
      <c r="AL70" s="348" t="s">
        <v>453</v>
      </c>
      <c r="AM70" s="58"/>
      <c r="AN70" s="348" t="s">
        <v>616</v>
      </c>
      <c r="AO70" s="58"/>
      <c r="AP70" s="349" t="s">
        <v>407</v>
      </c>
      <c r="AQ70" s="58"/>
      <c r="AR70" s="349" t="s">
        <v>408</v>
      </c>
      <c r="AS70" s="58"/>
      <c r="AT70" s="349" t="s">
        <v>409</v>
      </c>
      <c r="AU70" s="58"/>
      <c r="AV70" s="349" t="s">
        <v>410</v>
      </c>
      <c r="AW70" s="58"/>
      <c r="AX70" s="349" t="s">
        <v>617</v>
      </c>
      <c r="AY70" s="58"/>
      <c r="AZ70" s="349" t="s">
        <v>618</v>
      </c>
      <c r="BA70" s="58"/>
      <c r="BB70" s="349" t="s">
        <v>402</v>
      </c>
      <c r="BC70" s="58"/>
      <c r="BD70" s="349" t="s">
        <v>619</v>
      </c>
      <c r="BE70" s="58"/>
      <c r="BF70" s="349" t="s">
        <v>620</v>
      </c>
      <c r="BG70" s="58"/>
      <c r="BH70" s="349" t="s">
        <v>411</v>
      </c>
      <c r="BI70" s="58"/>
      <c r="BJ70" s="348" t="s">
        <v>411</v>
      </c>
      <c r="BK70" s="58"/>
      <c r="BL70" s="350"/>
      <c r="BM70" s="57"/>
      <c r="BN70" s="57"/>
      <c r="BO70" s="58"/>
      <c r="BP70" s="347"/>
      <c r="BQ70" s="57"/>
      <c r="BR70" s="58"/>
      <c r="BS70" s="350" t="s">
        <v>621</v>
      </c>
      <c r="BT70" s="57"/>
      <c r="BU70" s="57"/>
      <c r="BV70" s="58"/>
      <c r="BW70" s="347"/>
      <c r="BX70" s="57"/>
      <c r="BY70" s="58"/>
      <c r="BZ70" s="350" t="s">
        <v>622</v>
      </c>
      <c r="CA70" s="57"/>
      <c r="CB70" s="57"/>
      <c r="CC70" s="58"/>
      <c r="CD70" s="351"/>
      <c r="CE70" s="57"/>
      <c r="CF70" s="58"/>
      <c r="CG70" s="350" t="s">
        <v>623</v>
      </c>
      <c r="CH70" s="57"/>
      <c r="CI70" s="57"/>
      <c r="CJ70" s="58"/>
      <c r="CK70" s="347"/>
      <c r="CL70" s="57"/>
      <c r="CM70" s="352"/>
      <c r="CN70" s="318"/>
      <c r="CO70" s="419">
        <f>IF((DG58&amp;""="TRUE"),4,0)+CR70</f>
        <v>0</v>
      </c>
      <c r="CP70" s="46"/>
      <c r="CQ70" s="47"/>
      <c r="CR70" s="420"/>
      <c r="CS70" s="47"/>
      <c r="CT70" s="418" t="str">
        <f>CW70</f>
        <v/>
      </c>
      <c r="CU70" s="46"/>
      <c r="CV70" s="47"/>
      <c r="CW70" s="420"/>
      <c r="CX70" s="47"/>
      <c r="CY70" s="418" t="str">
        <f>DB70</f>
        <v/>
      </c>
      <c r="CZ70" s="46"/>
      <c r="DA70" s="47"/>
      <c r="DB70" s="420"/>
      <c r="DC70" s="47"/>
      <c r="DD70" s="425" t="s">
        <v>671</v>
      </c>
      <c r="DE70" s="46"/>
      <c r="DF70" s="46"/>
      <c r="DG70" s="46"/>
      <c r="DH70" s="47"/>
      <c r="DI70" s="420"/>
      <c r="DJ70" s="47"/>
      <c r="DK70" s="53"/>
      <c r="DL70" s="43"/>
      <c r="DM70" s="43"/>
      <c r="DN70" s="43"/>
      <c r="DO70" s="43"/>
      <c r="DP70" s="43"/>
      <c r="DQ70" s="43"/>
      <c r="DR70" s="43"/>
      <c r="DS70" s="43"/>
      <c r="DT70" s="43"/>
      <c r="DU70" s="43"/>
      <c r="DV70" s="43"/>
      <c r="DW70" s="43"/>
      <c r="DX70" s="43"/>
      <c r="DY70" s="43"/>
      <c r="DZ70" s="43"/>
      <c r="EA70" s="43"/>
      <c r="EB70" s="43"/>
      <c r="EC70" s="43"/>
      <c r="ED70" s="43"/>
      <c r="EE70" s="53"/>
      <c r="EF70" s="43"/>
      <c r="EG70" s="43"/>
      <c r="EH70" s="43"/>
      <c r="EI70" s="43"/>
      <c r="EJ70" s="43"/>
      <c r="EK70" s="43"/>
      <c r="EL70" s="43"/>
      <c r="EM70" s="43"/>
      <c r="EN70" s="43"/>
      <c r="EO70" s="43"/>
      <c r="EP70" s="43"/>
      <c r="EQ70" s="43"/>
      <c r="ER70" s="43"/>
      <c r="ES70" s="43"/>
      <c r="ET70" s="43"/>
      <c r="EU70" s="43"/>
      <c r="EV70" s="43"/>
      <c r="EW70" s="43"/>
      <c r="EX70" s="43"/>
      <c r="EY70" s="43"/>
      <c r="EZ70" s="43"/>
      <c r="FA70" s="43"/>
      <c r="FB70" s="43"/>
      <c r="FC70" s="43"/>
      <c r="FD70" s="43"/>
      <c r="FE70" s="43"/>
      <c r="FF70" s="43"/>
      <c r="FG70" s="43"/>
      <c r="FH70" s="43"/>
      <c r="FI70" s="43"/>
      <c r="FJ70" s="43"/>
      <c r="FK70" s="43"/>
      <c r="FL70" s="43"/>
      <c r="FM70" s="43"/>
      <c r="FN70" s="43"/>
      <c r="FO70" s="43"/>
      <c r="FP70" s="43"/>
      <c r="FQ70" s="43"/>
      <c r="FR70" s="43"/>
      <c r="FS70" s="43"/>
      <c r="FT70" s="43"/>
      <c r="FU70" s="43"/>
      <c r="FV70" s="43"/>
      <c r="FW70" s="43"/>
      <c r="FX70" s="43"/>
      <c r="FY70" s="43"/>
      <c r="FZ70" s="43"/>
      <c r="GA70" s="43"/>
      <c r="GB70" s="43"/>
      <c r="GC70" s="43"/>
      <c r="GD70" s="43"/>
      <c r="GE70" s="43"/>
      <c r="GF70" s="43"/>
      <c r="GG70" s="43"/>
      <c r="GH70" s="43"/>
      <c r="GI70" s="43"/>
      <c r="GJ70" s="43"/>
      <c r="GK70" s="43"/>
      <c r="GL70" s="43"/>
      <c r="GM70" s="43"/>
      <c r="GN70" s="43"/>
      <c r="GO70" s="43"/>
      <c r="GP70" s="43"/>
      <c r="GQ70" s="43"/>
      <c r="GR70" s="43"/>
      <c r="GS70" s="43"/>
      <c r="GT70" s="43"/>
      <c r="GU70" s="43"/>
      <c r="GV70" s="43"/>
      <c r="GW70" s="43"/>
    </row>
    <row r="71" ht="15.0" customHeight="1">
      <c r="A71" s="44"/>
      <c r="B71" s="316" t="s">
        <v>631</v>
      </c>
      <c r="C71" s="49"/>
      <c r="D71" s="49"/>
      <c r="E71" s="50"/>
      <c r="F71" s="376"/>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50"/>
      <c r="AJ71" s="73"/>
      <c r="AK71" s="50"/>
      <c r="AL71" s="73"/>
      <c r="AM71" s="50"/>
      <c r="AN71" s="73"/>
      <c r="AO71" s="50"/>
      <c r="AP71" s="73"/>
      <c r="AQ71" s="50"/>
      <c r="AR71" s="73"/>
      <c r="AS71" s="50"/>
      <c r="AT71" s="73"/>
      <c r="AU71" s="50"/>
      <c r="AV71" s="73"/>
      <c r="AW71" s="50"/>
      <c r="AX71" s="73"/>
      <c r="AY71" s="50"/>
      <c r="AZ71" s="73"/>
      <c r="BA71" s="50"/>
      <c r="BB71" s="73"/>
      <c r="BC71" s="50"/>
      <c r="BD71" s="307"/>
      <c r="BE71" s="50"/>
      <c r="BF71" s="73"/>
      <c r="BG71" s="50"/>
      <c r="BH71" s="73"/>
      <c r="BI71" s="50"/>
      <c r="BJ71" s="73"/>
      <c r="BK71" s="50"/>
      <c r="BL71" s="302"/>
      <c r="BM71" s="46"/>
      <c r="BN71" s="46"/>
      <c r="BO71" s="47"/>
      <c r="BP71" s="303"/>
      <c r="BQ71" s="46"/>
      <c r="BR71" s="47"/>
      <c r="BS71" s="302"/>
      <c r="BT71" s="46"/>
      <c r="BU71" s="46"/>
      <c r="BV71" s="47"/>
      <c r="BW71" s="303"/>
      <c r="BX71" s="46"/>
      <c r="BY71" s="47"/>
      <c r="BZ71" s="302"/>
      <c r="CA71" s="46"/>
      <c r="CB71" s="46"/>
      <c r="CC71" s="47"/>
      <c r="CD71" s="303"/>
      <c r="CE71" s="46"/>
      <c r="CF71" s="47"/>
      <c r="CG71" s="302"/>
      <c r="CH71" s="46"/>
      <c r="CI71" s="46"/>
      <c r="CJ71" s="47"/>
      <c r="CK71" s="303"/>
      <c r="CL71" s="46"/>
      <c r="CM71" s="74"/>
      <c r="CN71" s="318"/>
      <c r="CO71" s="424" t="s">
        <v>631</v>
      </c>
      <c r="CP71" s="46"/>
      <c r="CQ71" s="46"/>
      <c r="CR71" s="46"/>
      <c r="CS71" s="46"/>
      <c r="CT71" s="46"/>
      <c r="CU71" s="46"/>
      <c r="CV71" s="46"/>
      <c r="CW71" s="46"/>
      <c r="CX71" s="46"/>
      <c r="CY71" s="46"/>
      <c r="CZ71" s="46"/>
      <c r="DA71" s="46"/>
      <c r="DB71" s="46"/>
      <c r="DC71" s="46"/>
      <c r="DD71" s="46"/>
      <c r="DE71" s="46"/>
      <c r="DF71" s="46"/>
      <c r="DG71" s="46"/>
      <c r="DH71" s="46"/>
      <c r="DI71" s="46"/>
      <c r="DJ71" s="47"/>
      <c r="DK71" s="53"/>
      <c r="DL71" s="43"/>
      <c r="DM71" s="43"/>
      <c r="DN71" s="43"/>
      <c r="DO71" s="43"/>
      <c r="DP71" s="43"/>
      <c r="DQ71" s="43"/>
      <c r="DR71" s="43"/>
      <c r="DS71" s="43"/>
      <c r="DT71" s="43"/>
      <c r="DU71" s="43"/>
      <c r="DV71" s="43"/>
      <c r="DW71" s="43"/>
      <c r="DX71" s="43"/>
      <c r="DY71" s="43"/>
      <c r="DZ71" s="43"/>
      <c r="EA71" s="43"/>
      <c r="EB71" s="43"/>
      <c r="EC71" s="43"/>
      <c r="ED71" s="43"/>
      <c r="EE71" s="53"/>
      <c r="EF71" s="43"/>
      <c r="EG71" s="43"/>
      <c r="EH71" s="43"/>
      <c r="EI71" s="43"/>
      <c r="EJ71" s="43"/>
      <c r="EK71" s="43"/>
      <c r="EL71" s="43"/>
      <c r="EM71" s="43"/>
      <c r="EN71" s="43"/>
      <c r="EO71" s="43"/>
      <c r="EP71" s="43"/>
      <c r="EQ71" s="43"/>
      <c r="ER71" s="43"/>
      <c r="ES71" s="43"/>
      <c r="ET71" s="43"/>
      <c r="EU71" s="43"/>
      <c r="EV71" s="43"/>
      <c r="EW71" s="43"/>
      <c r="EX71" s="43"/>
      <c r="EY71" s="43"/>
      <c r="EZ71" s="43"/>
      <c r="FA71" s="43"/>
      <c r="FB71" s="43"/>
      <c r="FC71" s="43"/>
      <c r="FD71" s="43"/>
      <c r="FE71" s="43"/>
      <c r="FF71" s="43"/>
      <c r="FG71" s="43"/>
      <c r="FH71" s="43"/>
      <c r="FI71" s="43"/>
      <c r="FJ71" s="43"/>
      <c r="FK71" s="43"/>
      <c r="FL71" s="43"/>
      <c r="FM71" s="43"/>
      <c r="FN71" s="43"/>
      <c r="FO71" s="43"/>
      <c r="FP71" s="43"/>
      <c r="FQ71" s="43"/>
      <c r="FR71" s="43"/>
      <c r="FS71" s="43"/>
      <c r="FT71" s="43"/>
      <c r="FU71" s="43"/>
      <c r="FV71" s="43"/>
      <c r="FW71" s="43"/>
      <c r="FX71" s="43"/>
      <c r="FY71" s="43"/>
      <c r="FZ71" s="43"/>
      <c r="GA71" s="43"/>
      <c r="GB71" s="43"/>
      <c r="GC71" s="43"/>
      <c r="GD71" s="43"/>
      <c r="GE71" s="43"/>
      <c r="GF71" s="43"/>
      <c r="GG71" s="43"/>
      <c r="GH71" s="43"/>
      <c r="GI71" s="43"/>
      <c r="GJ71" s="43"/>
      <c r="GK71" s="43"/>
      <c r="GL71" s="43"/>
      <c r="GM71" s="43"/>
      <c r="GN71" s="43"/>
      <c r="GO71" s="43"/>
      <c r="GP71" s="43"/>
      <c r="GQ71" s="43"/>
      <c r="GR71" s="43"/>
      <c r="GS71" s="43"/>
      <c r="GT71" s="43"/>
      <c r="GU71" s="43"/>
      <c r="GV71" s="43"/>
      <c r="GW71" s="43"/>
    </row>
    <row r="72" ht="15.0" customHeight="1">
      <c r="A72" s="44"/>
      <c r="B72" s="330"/>
      <c r="C72" s="331"/>
      <c r="D72" s="331"/>
      <c r="E72" s="332"/>
      <c r="F72" s="333"/>
      <c r="G72" s="331"/>
      <c r="H72" s="331"/>
      <c r="I72" s="331"/>
      <c r="J72" s="331"/>
      <c r="K72" s="331"/>
      <c r="L72" s="331"/>
      <c r="M72" s="331"/>
      <c r="N72" s="331"/>
      <c r="O72" s="331"/>
      <c r="P72" s="331"/>
      <c r="Q72" s="331"/>
      <c r="R72" s="331"/>
      <c r="S72" s="331"/>
      <c r="T72" s="331"/>
      <c r="U72" s="331"/>
      <c r="V72" s="331"/>
      <c r="W72" s="331"/>
      <c r="X72" s="331"/>
      <c r="Y72" s="331"/>
      <c r="Z72" s="331"/>
      <c r="AA72" s="331"/>
      <c r="AB72" s="331"/>
      <c r="AC72" s="331"/>
      <c r="AD72" s="331"/>
      <c r="AE72" s="331"/>
      <c r="AF72" s="331"/>
      <c r="AG72" s="331"/>
      <c r="AH72" s="331"/>
      <c r="AI72" s="332"/>
      <c r="AJ72" s="333"/>
      <c r="AK72" s="332"/>
      <c r="AL72" s="333"/>
      <c r="AM72" s="332"/>
      <c r="AN72" s="333"/>
      <c r="AO72" s="332"/>
      <c r="AP72" s="333"/>
      <c r="AQ72" s="332"/>
      <c r="AR72" s="333"/>
      <c r="AS72" s="332"/>
      <c r="AT72" s="333"/>
      <c r="AU72" s="332"/>
      <c r="AV72" s="333"/>
      <c r="AW72" s="332"/>
      <c r="AX72" s="333"/>
      <c r="AY72" s="332"/>
      <c r="AZ72" s="333"/>
      <c r="BA72" s="332"/>
      <c r="BB72" s="333"/>
      <c r="BC72" s="332"/>
      <c r="BD72" s="333"/>
      <c r="BE72" s="332"/>
      <c r="BF72" s="333"/>
      <c r="BG72" s="332"/>
      <c r="BH72" s="333"/>
      <c r="BI72" s="332"/>
      <c r="BJ72" s="333"/>
      <c r="BK72" s="332"/>
      <c r="BL72" s="334" t="s">
        <v>632</v>
      </c>
      <c r="BM72" s="158"/>
      <c r="BN72" s="158"/>
      <c r="BO72" s="159"/>
      <c r="BP72" s="335">
        <f>Sum(AJ71:BK72)</f>
        <v>0</v>
      </c>
      <c r="BQ72" s="158"/>
      <c r="BR72" s="159"/>
      <c r="BS72" s="334" t="s">
        <v>401</v>
      </c>
      <c r="BT72" s="158"/>
      <c r="BU72" s="158"/>
      <c r="BV72" s="159"/>
      <c r="BW72" s="335"/>
      <c r="BX72" s="158"/>
      <c r="BY72" s="159"/>
      <c r="BZ72" s="337" t="s">
        <v>633</v>
      </c>
      <c r="CA72" s="158"/>
      <c r="CB72" s="158"/>
      <c r="CC72" s="159"/>
      <c r="CD72" s="335"/>
      <c r="CE72" s="158"/>
      <c r="CF72" s="159"/>
      <c r="CG72" s="334"/>
      <c r="CH72" s="158"/>
      <c r="CI72" s="158"/>
      <c r="CJ72" s="159"/>
      <c r="CK72" s="399"/>
      <c r="CL72" s="158"/>
      <c r="CM72" s="340"/>
      <c r="CN72" s="318"/>
      <c r="CO72" s="76"/>
      <c r="CP72" s="49"/>
      <c r="CQ72" s="49"/>
      <c r="CR72" s="49"/>
      <c r="CS72" s="49"/>
      <c r="CT72" s="49"/>
      <c r="CU72" s="49"/>
      <c r="CV72" s="49"/>
      <c r="CW72" s="49"/>
      <c r="CX72" s="49"/>
      <c r="CY72" s="49"/>
      <c r="CZ72" s="49"/>
      <c r="DA72" s="49"/>
      <c r="DB72" s="49"/>
      <c r="DC72" s="49"/>
      <c r="DD72" s="49"/>
      <c r="DE72" s="49"/>
      <c r="DF72" s="49"/>
      <c r="DG72" s="49"/>
      <c r="DH72" s="49"/>
      <c r="DI72" s="49"/>
      <c r="DJ72" s="50"/>
      <c r="DK72" s="53"/>
      <c r="DL72" s="43"/>
      <c r="DM72" s="43"/>
      <c r="DN72" s="43"/>
      <c r="DO72" s="43"/>
      <c r="DP72" s="43"/>
      <c r="DQ72" s="43"/>
      <c r="DR72" s="43"/>
      <c r="DS72" s="43"/>
      <c r="DT72" s="43"/>
      <c r="DU72" s="43"/>
      <c r="DV72" s="43"/>
      <c r="DW72" s="43"/>
      <c r="DX72" s="43"/>
      <c r="DY72" s="43"/>
      <c r="DZ72" s="43"/>
      <c r="EA72" s="43"/>
      <c r="EB72" s="43"/>
      <c r="EC72" s="43"/>
      <c r="ED72" s="43"/>
      <c r="EE72" s="53"/>
      <c r="EF72" s="43"/>
      <c r="EG72" s="43"/>
      <c r="EH72" s="43"/>
      <c r="EI72" s="43"/>
      <c r="EJ72" s="43"/>
      <c r="EK72" s="43"/>
      <c r="EL72" s="43"/>
      <c r="EM72" s="43"/>
      <c r="EN72" s="43"/>
      <c r="EO72" s="43"/>
      <c r="EP72" s="43"/>
      <c r="EQ72" s="43"/>
      <c r="ER72" s="43"/>
      <c r="ES72" s="43"/>
      <c r="ET72" s="43"/>
      <c r="EU72" s="43"/>
      <c r="EV72" s="43"/>
      <c r="EW72" s="43"/>
      <c r="EX72" s="43"/>
      <c r="EY72" s="43"/>
      <c r="EZ72" s="43"/>
      <c r="FA72" s="43"/>
      <c r="FB72" s="43"/>
      <c r="FC72" s="43"/>
      <c r="FD72" s="43"/>
      <c r="FE72" s="43"/>
      <c r="FF72" s="43"/>
      <c r="FG72" s="43"/>
      <c r="FH72" s="43"/>
      <c r="FI72" s="43"/>
      <c r="FJ72" s="43"/>
      <c r="FK72" s="43"/>
      <c r="FL72" s="43"/>
      <c r="FM72" s="43"/>
      <c r="FN72" s="43"/>
      <c r="FO72" s="43"/>
      <c r="FP72" s="43"/>
      <c r="FQ72" s="43"/>
      <c r="FR72" s="43"/>
      <c r="FS72" s="43"/>
      <c r="FT72" s="43"/>
      <c r="FU72" s="43"/>
      <c r="FV72" s="43"/>
      <c r="FW72" s="43"/>
      <c r="FX72" s="43"/>
      <c r="FY72" s="43"/>
      <c r="FZ72" s="43"/>
      <c r="GA72" s="43"/>
      <c r="GB72" s="43"/>
      <c r="GC72" s="43"/>
      <c r="GD72" s="43"/>
      <c r="GE72" s="43"/>
      <c r="GF72" s="43"/>
      <c r="GG72" s="43"/>
      <c r="GH72" s="43"/>
      <c r="GI72" s="43"/>
      <c r="GJ72" s="43"/>
      <c r="GK72" s="43"/>
      <c r="GL72" s="43"/>
      <c r="GM72" s="43"/>
      <c r="GN72" s="43"/>
      <c r="GO72" s="43"/>
      <c r="GP72" s="43"/>
      <c r="GQ72" s="43"/>
      <c r="GR72" s="43"/>
      <c r="GS72" s="43"/>
      <c r="GT72" s="43"/>
      <c r="GU72" s="43"/>
      <c r="GV72" s="43"/>
      <c r="GW72" s="43"/>
    </row>
    <row r="73" ht="15.0" customHeight="1">
      <c r="A73" s="44"/>
      <c r="B73" s="342" t="s">
        <v>613</v>
      </c>
      <c r="C73" s="57"/>
      <c r="D73" s="57"/>
      <c r="E73" s="58"/>
      <c r="F73" s="343"/>
      <c r="G73" s="57"/>
      <c r="H73" s="57"/>
      <c r="I73" s="57"/>
      <c r="J73" s="57"/>
      <c r="K73" s="57"/>
      <c r="L73" s="57"/>
      <c r="M73" s="57"/>
      <c r="N73" s="57"/>
      <c r="O73" s="57"/>
      <c r="P73" s="57"/>
      <c r="Q73" s="57"/>
      <c r="R73" s="57"/>
      <c r="S73" s="57"/>
      <c r="T73" s="58"/>
      <c r="U73" s="344" t="s">
        <v>625</v>
      </c>
      <c r="V73" s="57"/>
      <c r="W73" s="57"/>
      <c r="X73" s="58"/>
      <c r="Y73" s="345"/>
      <c r="Z73" s="57"/>
      <c r="AA73" s="57"/>
      <c r="AB73" s="58"/>
      <c r="AC73" s="346" t="s">
        <v>615</v>
      </c>
      <c r="AD73" s="57"/>
      <c r="AE73" s="57"/>
      <c r="AF73" s="58"/>
      <c r="AG73" s="347"/>
      <c r="AH73" s="57"/>
      <c r="AI73" s="58"/>
      <c r="AJ73" s="348" t="s">
        <v>397</v>
      </c>
      <c r="AK73" s="58"/>
      <c r="AL73" s="348" t="s">
        <v>453</v>
      </c>
      <c r="AM73" s="58"/>
      <c r="AN73" s="348" t="s">
        <v>616</v>
      </c>
      <c r="AO73" s="58"/>
      <c r="AP73" s="349" t="s">
        <v>407</v>
      </c>
      <c r="AQ73" s="58"/>
      <c r="AR73" s="349" t="s">
        <v>408</v>
      </c>
      <c r="AS73" s="58"/>
      <c r="AT73" s="349" t="s">
        <v>409</v>
      </c>
      <c r="AU73" s="58"/>
      <c r="AV73" s="349" t="s">
        <v>410</v>
      </c>
      <c r="AW73" s="58"/>
      <c r="AX73" s="349" t="s">
        <v>617</v>
      </c>
      <c r="AY73" s="58"/>
      <c r="AZ73" s="349" t="s">
        <v>618</v>
      </c>
      <c r="BA73" s="58"/>
      <c r="BB73" s="349" t="s">
        <v>402</v>
      </c>
      <c r="BC73" s="58"/>
      <c r="BD73" s="349" t="s">
        <v>619</v>
      </c>
      <c r="BE73" s="58"/>
      <c r="BF73" s="349" t="s">
        <v>620</v>
      </c>
      <c r="BG73" s="58"/>
      <c r="BH73" s="349" t="s">
        <v>411</v>
      </c>
      <c r="BI73" s="58"/>
      <c r="BJ73" s="348" t="s">
        <v>411</v>
      </c>
      <c r="BK73" s="58"/>
      <c r="BL73" s="350"/>
      <c r="BM73" s="57"/>
      <c r="BN73" s="57"/>
      <c r="BO73" s="58"/>
      <c r="BP73" s="347"/>
      <c r="BQ73" s="57"/>
      <c r="BR73" s="58"/>
      <c r="BS73" s="350" t="s">
        <v>621</v>
      </c>
      <c r="BT73" s="57"/>
      <c r="BU73" s="57"/>
      <c r="BV73" s="58"/>
      <c r="BW73" s="347"/>
      <c r="BX73" s="57"/>
      <c r="BY73" s="58"/>
      <c r="BZ73" s="350" t="s">
        <v>622</v>
      </c>
      <c r="CA73" s="57"/>
      <c r="CB73" s="57"/>
      <c r="CC73" s="58"/>
      <c r="CD73" s="351"/>
      <c r="CE73" s="57"/>
      <c r="CF73" s="58"/>
      <c r="CG73" s="350" t="s">
        <v>623</v>
      </c>
      <c r="CH73" s="57"/>
      <c r="CI73" s="57"/>
      <c r="CJ73" s="58"/>
      <c r="CK73" s="347"/>
      <c r="CL73" s="57"/>
      <c r="CM73" s="352"/>
      <c r="CN73" s="318"/>
      <c r="CO73" s="59"/>
      <c r="DJ73" s="60"/>
      <c r="DK73" s="53"/>
      <c r="DL73" s="43"/>
      <c r="DM73" s="43"/>
      <c r="DN73" s="43"/>
      <c r="DO73" s="43"/>
      <c r="DP73" s="43"/>
      <c r="DQ73" s="43"/>
      <c r="DR73" s="43"/>
      <c r="DS73" s="43"/>
      <c r="DT73" s="43"/>
      <c r="DU73" s="43"/>
      <c r="DV73" s="43"/>
      <c r="DW73" s="43"/>
      <c r="DX73" s="43"/>
      <c r="DY73" s="43"/>
      <c r="DZ73" s="43"/>
      <c r="EA73" s="43"/>
      <c r="EB73" s="43"/>
      <c r="EC73" s="43"/>
      <c r="ED73" s="43"/>
      <c r="EE73" s="53"/>
      <c r="EF73" s="43"/>
      <c r="EG73" s="43"/>
      <c r="EH73" s="43"/>
      <c r="EI73" s="43"/>
      <c r="EJ73" s="43"/>
      <c r="EK73" s="43"/>
      <c r="EL73" s="43"/>
      <c r="EM73" s="43"/>
      <c r="EN73" s="43"/>
      <c r="EO73" s="43"/>
      <c r="EP73" s="43"/>
      <c r="EQ73" s="43"/>
      <c r="ER73" s="43"/>
      <c r="ES73" s="43"/>
      <c r="ET73" s="43"/>
      <c r="EU73" s="43"/>
      <c r="EV73" s="43"/>
      <c r="EW73" s="43"/>
      <c r="EX73" s="43"/>
      <c r="EY73" s="43"/>
      <c r="EZ73" s="43"/>
      <c r="FA73" s="43"/>
      <c r="FB73" s="43"/>
      <c r="FC73" s="43"/>
      <c r="FD73" s="43"/>
      <c r="FE73" s="43"/>
      <c r="FF73" s="43"/>
      <c r="FG73" s="43"/>
      <c r="FH73" s="43"/>
      <c r="FI73" s="43"/>
      <c r="FJ73" s="43"/>
      <c r="FK73" s="43"/>
      <c r="FL73" s="43"/>
      <c r="FM73" s="43"/>
      <c r="FN73" s="43"/>
      <c r="FO73" s="43"/>
      <c r="FP73" s="43"/>
      <c r="FQ73" s="43"/>
      <c r="FR73" s="43"/>
      <c r="FS73" s="43"/>
      <c r="FT73" s="43"/>
      <c r="FU73" s="43"/>
      <c r="FV73" s="43"/>
      <c r="FW73" s="43"/>
      <c r="FX73" s="43"/>
      <c r="FY73" s="43"/>
      <c r="FZ73" s="43"/>
      <c r="GA73" s="43"/>
      <c r="GB73" s="43"/>
      <c r="GC73" s="43"/>
      <c r="GD73" s="43"/>
      <c r="GE73" s="43"/>
      <c r="GF73" s="43"/>
      <c r="GG73" s="43"/>
      <c r="GH73" s="43"/>
      <c r="GI73" s="43"/>
      <c r="GJ73" s="43"/>
      <c r="GK73" s="43"/>
      <c r="GL73" s="43"/>
      <c r="GM73" s="43"/>
      <c r="GN73" s="43"/>
      <c r="GO73" s="43"/>
      <c r="GP73" s="43"/>
      <c r="GQ73" s="43"/>
      <c r="GR73" s="43"/>
      <c r="GS73" s="43"/>
      <c r="GT73" s="43"/>
      <c r="GU73" s="43"/>
      <c r="GV73" s="43"/>
      <c r="GW73" s="43"/>
    </row>
    <row r="74" ht="15.0" customHeight="1">
      <c r="A74" s="44"/>
      <c r="B74" s="316" t="s">
        <v>631</v>
      </c>
      <c r="C74" s="49"/>
      <c r="D74" s="49"/>
      <c r="E74" s="50"/>
      <c r="F74" s="376"/>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50"/>
      <c r="AJ74" s="73"/>
      <c r="AK74" s="50"/>
      <c r="AL74" s="73"/>
      <c r="AM74" s="50"/>
      <c r="AN74" s="73"/>
      <c r="AO74" s="50"/>
      <c r="AP74" s="73"/>
      <c r="AQ74" s="50"/>
      <c r="AR74" s="73"/>
      <c r="AS74" s="50"/>
      <c r="AT74" s="73"/>
      <c r="AU74" s="50"/>
      <c r="AV74" s="73"/>
      <c r="AW74" s="50"/>
      <c r="AX74" s="73"/>
      <c r="AY74" s="50"/>
      <c r="AZ74" s="73"/>
      <c r="BA74" s="50"/>
      <c r="BB74" s="73"/>
      <c r="BC74" s="50"/>
      <c r="BD74" s="307"/>
      <c r="BE74" s="50"/>
      <c r="BF74" s="73"/>
      <c r="BG74" s="50"/>
      <c r="BH74" s="73"/>
      <c r="BI74" s="50"/>
      <c r="BJ74" s="73"/>
      <c r="BK74" s="50"/>
      <c r="BL74" s="302"/>
      <c r="BM74" s="46"/>
      <c r="BN74" s="46"/>
      <c r="BO74" s="47"/>
      <c r="BP74" s="303"/>
      <c r="BQ74" s="46"/>
      <c r="BR74" s="47"/>
      <c r="BS74" s="302"/>
      <c r="BT74" s="46"/>
      <c r="BU74" s="46"/>
      <c r="BV74" s="47"/>
      <c r="BW74" s="303"/>
      <c r="BX74" s="46"/>
      <c r="BY74" s="47"/>
      <c r="BZ74" s="302"/>
      <c r="CA74" s="46"/>
      <c r="CB74" s="46"/>
      <c r="CC74" s="47"/>
      <c r="CD74" s="303"/>
      <c r="CE74" s="46"/>
      <c r="CF74" s="47"/>
      <c r="CG74" s="302"/>
      <c r="CH74" s="46"/>
      <c r="CI74" s="46"/>
      <c r="CJ74" s="47"/>
      <c r="CK74" s="303"/>
      <c r="CL74" s="46"/>
      <c r="CM74" s="74"/>
      <c r="CN74" s="318"/>
      <c r="CO74" s="59"/>
      <c r="DJ74" s="60"/>
      <c r="DK74" s="53"/>
      <c r="DL74" s="43"/>
      <c r="DM74" s="43"/>
      <c r="DN74" s="43"/>
      <c r="DO74" s="43"/>
      <c r="DP74" s="43"/>
      <c r="DQ74" s="43"/>
      <c r="DR74" s="43"/>
      <c r="DS74" s="43"/>
      <c r="DT74" s="43"/>
      <c r="DU74" s="43"/>
      <c r="DV74" s="43"/>
      <c r="DW74" s="43"/>
      <c r="DX74" s="43"/>
      <c r="DY74" s="43"/>
      <c r="DZ74" s="43"/>
      <c r="EA74" s="43"/>
      <c r="EB74" s="43"/>
      <c r="EC74" s="43"/>
      <c r="ED74" s="43"/>
      <c r="EE74" s="43"/>
      <c r="EF74" s="43"/>
      <c r="EG74" s="43"/>
      <c r="EH74" s="43"/>
      <c r="EI74" s="43"/>
      <c r="EJ74" s="43"/>
      <c r="EK74" s="43"/>
      <c r="EL74" s="43"/>
      <c r="EM74" s="43"/>
      <c r="EN74" s="43"/>
      <c r="EO74" s="43"/>
      <c r="EP74" s="43"/>
      <c r="EQ74" s="43"/>
      <c r="ER74" s="43"/>
      <c r="ES74" s="43"/>
      <c r="ET74" s="43"/>
      <c r="EU74" s="43"/>
      <c r="EV74" s="43"/>
      <c r="EW74" s="43"/>
      <c r="EX74" s="43"/>
      <c r="EY74" s="43"/>
      <c r="EZ74" s="43"/>
      <c r="FA74" s="43"/>
      <c r="FB74" s="43"/>
      <c r="FC74" s="43"/>
      <c r="FD74" s="43"/>
      <c r="FE74" s="43"/>
      <c r="FF74" s="43"/>
      <c r="FG74" s="43"/>
      <c r="FH74" s="43"/>
      <c r="FI74" s="43"/>
      <c r="FJ74" s="43"/>
      <c r="FK74" s="43"/>
      <c r="FL74" s="43"/>
      <c r="FM74" s="43"/>
      <c r="FN74" s="43"/>
      <c r="FO74" s="43"/>
      <c r="FP74" s="43"/>
      <c r="FQ74" s="43"/>
      <c r="FR74" s="43"/>
      <c r="FS74" s="43"/>
      <c r="FT74" s="43"/>
      <c r="FU74" s="43"/>
      <c r="FV74" s="43"/>
      <c r="FW74" s="43"/>
      <c r="FX74" s="43"/>
      <c r="FY74" s="43"/>
      <c r="FZ74" s="43"/>
      <c r="GA74" s="43"/>
      <c r="GB74" s="43"/>
      <c r="GC74" s="43"/>
      <c r="GD74" s="43"/>
      <c r="GE74" s="43"/>
      <c r="GF74" s="43"/>
      <c r="GG74" s="43"/>
      <c r="GH74" s="43"/>
      <c r="GI74" s="43"/>
      <c r="GJ74" s="43"/>
      <c r="GK74" s="43"/>
      <c r="GL74" s="43"/>
      <c r="GM74" s="43"/>
      <c r="GN74" s="43"/>
      <c r="GO74" s="43"/>
      <c r="GP74" s="43"/>
      <c r="GQ74" s="43"/>
      <c r="GR74" s="43"/>
      <c r="GS74" s="43"/>
      <c r="GT74" s="43"/>
      <c r="GU74" s="43"/>
      <c r="GV74" s="43"/>
      <c r="GW74" s="43"/>
    </row>
    <row r="75" ht="15.0" customHeight="1">
      <c r="A75" s="44"/>
      <c r="B75" s="330"/>
      <c r="C75" s="331"/>
      <c r="D75" s="331"/>
      <c r="E75" s="332"/>
      <c r="F75" s="333"/>
      <c r="G75" s="331"/>
      <c r="H75" s="331"/>
      <c r="I75" s="331"/>
      <c r="J75" s="331"/>
      <c r="K75" s="331"/>
      <c r="L75" s="331"/>
      <c r="M75" s="331"/>
      <c r="N75" s="331"/>
      <c r="O75" s="331"/>
      <c r="P75" s="331"/>
      <c r="Q75" s="331"/>
      <c r="R75" s="331"/>
      <c r="S75" s="331"/>
      <c r="T75" s="331"/>
      <c r="U75" s="331"/>
      <c r="V75" s="331"/>
      <c r="W75" s="331"/>
      <c r="X75" s="331"/>
      <c r="Y75" s="331"/>
      <c r="Z75" s="331"/>
      <c r="AA75" s="331"/>
      <c r="AB75" s="331"/>
      <c r="AC75" s="331"/>
      <c r="AD75" s="331"/>
      <c r="AE75" s="331"/>
      <c r="AF75" s="331"/>
      <c r="AG75" s="331"/>
      <c r="AH75" s="331"/>
      <c r="AI75" s="332"/>
      <c r="AJ75" s="333"/>
      <c r="AK75" s="332"/>
      <c r="AL75" s="333"/>
      <c r="AM75" s="332"/>
      <c r="AN75" s="333"/>
      <c r="AO75" s="332"/>
      <c r="AP75" s="333"/>
      <c r="AQ75" s="332"/>
      <c r="AR75" s="333"/>
      <c r="AS75" s="332"/>
      <c r="AT75" s="333"/>
      <c r="AU75" s="332"/>
      <c r="AV75" s="333"/>
      <c r="AW75" s="332"/>
      <c r="AX75" s="333"/>
      <c r="AY75" s="332"/>
      <c r="AZ75" s="333"/>
      <c r="BA75" s="332"/>
      <c r="BB75" s="333"/>
      <c r="BC75" s="332"/>
      <c r="BD75" s="333"/>
      <c r="BE75" s="332"/>
      <c r="BF75" s="333"/>
      <c r="BG75" s="332"/>
      <c r="BH75" s="333"/>
      <c r="BI75" s="332"/>
      <c r="BJ75" s="333"/>
      <c r="BK75" s="332"/>
      <c r="BL75" s="334" t="s">
        <v>632</v>
      </c>
      <c r="BM75" s="158"/>
      <c r="BN75" s="158"/>
      <c r="BO75" s="159"/>
      <c r="BP75" s="335">
        <f>Sum(AJ74:BK75)</f>
        <v>0</v>
      </c>
      <c r="BQ75" s="158"/>
      <c r="BR75" s="159"/>
      <c r="BS75" s="334" t="s">
        <v>401</v>
      </c>
      <c r="BT75" s="158"/>
      <c r="BU75" s="158"/>
      <c r="BV75" s="159"/>
      <c r="BW75" s="335"/>
      <c r="BX75" s="158"/>
      <c r="BY75" s="159"/>
      <c r="BZ75" s="337" t="s">
        <v>633</v>
      </c>
      <c r="CA75" s="158"/>
      <c r="CB75" s="158"/>
      <c r="CC75" s="159"/>
      <c r="CD75" s="335"/>
      <c r="CE75" s="158"/>
      <c r="CF75" s="159"/>
      <c r="CG75" s="334"/>
      <c r="CH75" s="158"/>
      <c r="CI75" s="158"/>
      <c r="CJ75" s="159"/>
      <c r="CK75" s="399"/>
      <c r="CL75" s="158"/>
      <c r="CM75" s="340"/>
      <c r="CN75" s="318"/>
      <c r="CO75" s="70"/>
      <c r="CP75" s="57"/>
      <c r="CQ75" s="57"/>
      <c r="CR75" s="57"/>
      <c r="CS75" s="57"/>
      <c r="CT75" s="57"/>
      <c r="CU75" s="57"/>
      <c r="CV75" s="57"/>
      <c r="CW75" s="57"/>
      <c r="CX75" s="57"/>
      <c r="CY75" s="57"/>
      <c r="CZ75" s="57"/>
      <c r="DA75" s="57"/>
      <c r="DB75" s="57"/>
      <c r="DC75" s="57"/>
      <c r="DD75" s="57"/>
      <c r="DE75" s="57"/>
      <c r="DF75" s="57"/>
      <c r="DG75" s="57"/>
      <c r="DH75" s="57"/>
      <c r="DI75" s="57"/>
      <c r="DJ75" s="58"/>
      <c r="DK75" s="53"/>
      <c r="DL75" s="43"/>
      <c r="DM75" s="43"/>
      <c r="DN75" s="43"/>
      <c r="DO75" s="43"/>
      <c r="DP75" s="43"/>
      <c r="DQ75" s="43"/>
      <c r="DR75" s="43"/>
      <c r="DS75" s="43"/>
      <c r="DT75" s="43"/>
      <c r="DU75" s="43"/>
      <c r="DV75" s="43"/>
      <c r="DW75" s="43"/>
      <c r="DX75" s="43"/>
      <c r="DY75" s="43"/>
      <c r="DZ75" s="43"/>
      <c r="EA75" s="43"/>
      <c r="EB75" s="43"/>
      <c r="EC75" s="43"/>
      <c r="ED75" s="43"/>
      <c r="EE75" s="43"/>
      <c r="EF75" s="43"/>
      <c r="EG75" s="43"/>
      <c r="EH75" s="43"/>
      <c r="EI75" s="43"/>
      <c r="EJ75" s="43"/>
      <c r="EK75" s="43"/>
      <c r="EL75" s="43"/>
      <c r="EM75" s="43"/>
      <c r="EN75" s="43"/>
      <c r="EO75" s="43"/>
      <c r="EP75" s="43"/>
      <c r="EQ75" s="43"/>
      <c r="ER75" s="43"/>
      <c r="ES75" s="43"/>
      <c r="ET75" s="43"/>
      <c r="EU75" s="43"/>
      <c r="EV75" s="43"/>
      <c r="EW75" s="43"/>
      <c r="EX75" s="43"/>
      <c r="EY75" s="43"/>
      <c r="EZ75" s="43"/>
      <c r="FA75" s="43"/>
      <c r="FB75" s="43"/>
      <c r="FC75" s="43"/>
      <c r="FD75" s="43"/>
      <c r="FE75" s="43"/>
      <c r="FF75" s="43"/>
      <c r="FG75" s="43"/>
      <c r="FH75" s="43"/>
      <c r="FI75" s="43"/>
      <c r="FJ75" s="43"/>
      <c r="FK75" s="43"/>
      <c r="FL75" s="43"/>
      <c r="FM75" s="43"/>
      <c r="FN75" s="43"/>
      <c r="FO75" s="43"/>
      <c r="FP75" s="43"/>
      <c r="FQ75" s="43"/>
      <c r="FR75" s="43"/>
      <c r="FS75" s="43"/>
      <c r="FT75" s="43"/>
      <c r="FU75" s="43"/>
      <c r="FV75" s="43"/>
      <c r="FW75" s="43"/>
      <c r="FX75" s="43"/>
      <c r="FY75" s="43"/>
      <c r="FZ75" s="43"/>
      <c r="GA75" s="43"/>
      <c r="GB75" s="43"/>
      <c r="GC75" s="43"/>
      <c r="GD75" s="43"/>
      <c r="GE75" s="43"/>
      <c r="GF75" s="43"/>
      <c r="GG75" s="43"/>
      <c r="GH75" s="43"/>
      <c r="GI75" s="43"/>
      <c r="GJ75" s="43"/>
      <c r="GK75" s="43"/>
      <c r="GL75" s="43"/>
      <c r="GM75" s="43"/>
      <c r="GN75" s="43"/>
      <c r="GO75" s="43"/>
      <c r="GP75" s="43"/>
      <c r="GQ75" s="43"/>
      <c r="GR75" s="43"/>
      <c r="GS75" s="43"/>
      <c r="GT75" s="43"/>
      <c r="GU75" s="43"/>
      <c r="GV75" s="43"/>
      <c r="GW75" s="43"/>
    </row>
    <row r="76" ht="15.0" customHeight="1">
      <c r="A76" s="106"/>
      <c r="B76" s="426"/>
      <c r="C76" s="426"/>
      <c r="D76" s="426"/>
      <c r="E76" s="426"/>
      <c r="F76" s="427"/>
      <c r="G76" s="428"/>
      <c r="H76" s="428"/>
      <c r="I76" s="428"/>
      <c r="J76" s="428"/>
      <c r="K76" s="428"/>
      <c r="L76" s="428"/>
      <c r="M76" s="426"/>
      <c r="N76" s="426"/>
      <c r="O76" s="426"/>
      <c r="P76" s="426"/>
      <c r="Q76" s="426"/>
      <c r="R76" s="426"/>
      <c r="S76" s="426"/>
      <c r="T76" s="426"/>
      <c r="U76" s="426"/>
      <c r="V76" s="429"/>
      <c r="W76" s="429"/>
      <c r="X76" s="429"/>
      <c r="Y76" s="429"/>
      <c r="Z76" s="426"/>
      <c r="AA76" s="426"/>
      <c r="AB76" s="426"/>
      <c r="AC76" s="426"/>
      <c r="AD76" s="426"/>
      <c r="AE76" s="426"/>
      <c r="AF76" s="426"/>
      <c r="AG76" s="426"/>
      <c r="AH76" s="426"/>
      <c r="AI76" s="426"/>
      <c r="AJ76" s="426"/>
      <c r="AK76" s="426"/>
      <c r="AL76" s="426"/>
      <c r="AM76" s="426"/>
      <c r="AN76" s="426"/>
      <c r="AO76" s="426"/>
      <c r="AP76" s="426"/>
      <c r="AQ76" s="426"/>
      <c r="AR76" s="426"/>
      <c r="AS76" s="426"/>
      <c r="AT76" s="426"/>
      <c r="AU76" s="426"/>
      <c r="AV76" s="426"/>
      <c r="AW76" s="426"/>
      <c r="AX76" s="426"/>
      <c r="AY76" s="426"/>
      <c r="AZ76" s="426"/>
      <c r="BA76" s="426"/>
      <c r="BB76" s="426"/>
      <c r="BC76" s="426"/>
      <c r="BD76" s="426"/>
      <c r="BE76" s="426"/>
      <c r="BF76" s="426"/>
      <c r="BG76" s="426"/>
      <c r="BH76" s="426"/>
      <c r="BI76" s="426"/>
      <c r="BJ76" s="426"/>
      <c r="BK76" s="426"/>
      <c r="BL76" s="426"/>
      <c r="BM76" s="426"/>
      <c r="BN76" s="426"/>
      <c r="BO76" s="426"/>
      <c r="BP76" s="426"/>
      <c r="BQ76" s="426"/>
      <c r="BR76" s="426"/>
      <c r="BS76" s="426"/>
      <c r="BT76" s="426"/>
      <c r="BU76" s="426"/>
      <c r="BV76" s="426"/>
      <c r="BW76" s="426"/>
      <c r="BX76" s="426"/>
      <c r="BY76" s="426"/>
      <c r="BZ76" s="426"/>
      <c r="CA76" s="426"/>
      <c r="CB76" s="426"/>
      <c r="CC76" s="426"/>
      <c r="CD76" s="426"/>
      <c r="CE76" s="426"/>
      <c r="CF76" s="426"/>
      <c r="CG76" s="426"/>
      <c r="CH76" s="426"/>
      <c r="CI76" s="426"/>
      <c r="CJ76" s="426"/>
      <c r="CK76" s="426"/>
      <c r="CL76" s="426"/>
      <c r="CM76" s="426"/>
      <c r="CN76" s="430"/>
      <c r="CO76" s="36"/>
      <c r="CP76" s="36"/>
      <c r="CQ76" s="36"/>
      <c r="CR76" s="36"/>
      <c r="CS76" s="36"/>
      <c r="CT76" s="36"/>
      <c r="CU76" s="36"/>
      <c r="CV76" s="36"/>
      <c r="CW76" s="36"/>
      <c r="CX76" s="36"/>
      <c r="CY76" s="36"/>
      <c r="CZ76" s="36"/>
      <c r="DA76" s="36"/>
      <c r="DB76" s="36"/>
      <c r="DC76" s="36"/>
      <c r="DD76" s="36"/>
      <c r="DE76" s="36"/>
      <c r="DF76" s="36"/>
      <c r="DG76" s="36"/>
      <c r="DH76" s="36"/>
      <c r="DI76" s="36"/>
      <c r="DJ76" s="36"/>
      <c r="DK76" s="109"/>
      <c r="DL76" s="43"/>
      <c r="DM76" s="43"/>
      <c r="DN76" s="43"/>
      <c r="DO76" s="43"/>
      <c r="DP76" s="43"/>
      <c r="DQ76" s="43"/>
      <c r="DR76" s="43"/>
      <c r="DS76" s="43"/>
      <c r="DT76" s="43"/>
      <c r="DU76" s="43"/>
      <c r="DV76" s="43"/>
      <c r="DW76" s="43"/>
      <c r="DX76" s="43"/>
      <c r="DY76" s="43"/>
      <c r="DZ76" s="43"/>
      <c r="EA76" s="43"/>
      <c r="EB76" s="43"/>
      <c r="EC76" s="43"/>
      <c r="ED76" s="43"/>
      <c r="EE76" s="43"/>
      <c r="EF76" s="43"/>
      <c r="EG76" s="43"/>
      <c r="EH76" s="43"/>
      <c r="EI76" s="43"/>
      <c r="EJ76" s="43"/>
      <c r="EK76" s="43"/>
      <c r="EL76" s="43"/>
      <c r="EM76" s="43"/>
      <c r="EN76" s="43"/>
      <c r="EO76" s="43"/>
      <c r="EP76" s="43"/>
      <c r="EQ76" s="43"/>
      <c r="ER76" s="43"/>
      <c r="ES76" s="43"/>
      <c r="ET76" s="43"/>
      <c r="EU76" s="43"/>
      <c r="EV76" s="43"/>
      <c r="EW76" s="43"/>
      <c r="EX76" s="43"/>
      <c r="EY76" s="43"/>
      <c r="EZ76" s="43"/>
      <c r="FA76" s="43"/>
      <c r="FB76" s="43"/>
      <c r="FC76" s="43"/>
      <c r="FD76" s="43"/>
      <c r="FE76" s="43"/>
      <c r="FF76" s="43"/>
      <c r="FG76" s="43"/>
      <c r="FH76" s="43"/>
      <c r="FI76" s="43"/>
      <c r="FJ76" s="43"/>
      <c r="FK76" s="43"/>
      <c r="FL76" s="43"/>
      <c r="FM76" s="43"/>
      <c r="FN76" s="43"/>
      <c r="FO76" s="43"/>
      <c r="FP76" s="43"/>
      <c r="FQ76" s="43"/>
      <c r="FR76" s="43"/>
      <c r="FS76" s="43"/>
      <c r="FT76" s="43"/>
      <c r="FU76" s="43"/>
      <c r="FV76" s="43"/>
      <c r="FW76" s="43"/>
      <c r="FX76" s="43"/>
      <c r="FY76" s="43"/>
      <c r="FZ76" s="43"/>
      <c r="GA76" s="43"/>
      <c r="GB76" s="43"/>
      <c r="GC76" s="43"/>
      <c r="GD76" s="43"/>
      <c r="GE76" s="43"/>
      <c r="GF76" s="43"/>
      <c r="GG76" s="43"/>
      <c r="GH76" s="43"/>
      <c r="GI76" s="43"/>
      <c r="GJ76" s="43"/>
      <c r="GK76" s="43"/>
      <c r="GL76" s="43"/>
      <c r="GM76" s="43"/>
      <c r="GN76" s="43"/>
      <c r="GO76" s="43"/>
      <c r="GP76" s="43"/>
      <c r="GQ76" s="43"/>
      <c r="GR76" s="43"/>
      <c r="GS76" s="43"/>
      <c r="GT76" s="43"/>
      <c r="GU76" s="43"/>
      <c r="GV76" s="43"/>
      <c r="GW76" s="43"/>
    </row>
    <row r="77" ht="15.0" customHeight="1">
      <c r="A77" s="318"/>
      <c r="B77" s="51" t="s">
        <v>674</v>
      </c>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c r="BJ77" s="46"/>
      <c r="BK77" s="46"/>
      <c r="BL77" s="46"/>
      <c r="BM77" s="46"/>
      <c r="BN77" s="46"/>
      <c r="BO77" s="46"/>
      <c r="BP77" s="46"/>
      <c r="BQ77" s="46"/>
      <c r="BR77" s="46"/>
      <c r="BS77" s="46"/>
      <c r="BT77" s="46"/>
      <c r="BU77" s="46"/>
      <c r="BV77" s="46"/>
      <c r="BW77" s="46"/>
      <c r="BX77" s="46"/>
      <c r="BY77" s="46"/>
      <c r="BZ77" s="46"/>
      <c r="CA77" s="46"/>
      <c r="CB77" s="46"/>
      <c r="CC77" s="46"/>
      <c r="CD77" s="46"/>
      <c r="CE77" s="46"/>
      <c r="CF77" s="46"/>
      <c r="CG77" s="46"/>
      <c r="CH77" s="46"/>
      <c r="CI77" s="46"/>
      <c r="CJ77" s="46"/>
      <c r="CK77" s="46"/>
      <c r="CL77" s="46"/>
      <c r="CM77" s="46"/>
      <c r="CN77" s="46"/>
      <c r="CO77" s="46"/>
      <c r="CP77" s="46"/>
      <c r="CQ77" s="46"/>
      <c r="CR77" s="46"/>
      <c r="CS77" s="46"/>
      <c r="CT77" s="46"/>
      <c r="CU77" s="46"/>
      <c r="CV77" s="46"/>
      <c r="CW77" s="46"/>
      <c r="CX77" s="46"/>
      <c r="CY77" s="46"/>
      <c r="CZ77" s="46"/>
      <c r="DA77" s="46"/>
      <c r="DB77" s="46"/>
      <c r="DC77" s="46"/>
      <c r="DD77" s="46"/>
      <c r="DE77" s="46"/>
      <c r="DF77" s="46"/>
      <c r="DG77" s="46"/>
      <c r="DH77" s="46"/>
      <c r="DI77" s="46"/>
      <c r="DJ77" s="47"/>
      <c r="DK77" s="53"/>
      <c r="DL77" s="43"/>
      <c r="DM77" s="43"/>
      <c r="DN77" s="43"/>
      <c r="DO77" s="43"/>
      <c r="DP77" s="43"/>
      <c r="DQ77" s="43"/>
      <c r="DR77" s="43"/>
      <c r="DS77" s="43"/>
      <c r="DT77" s="43"/>
      <c r="DU77" s="43"/>
      <c r="DV77" s="43"/>
      <c r="DW77" s="43"/>
      <c r="DX77" s="43"/>
      <c r="DY77" s="43"/>
      <c r="DZ77" s="43"/>
      <c r="EA77" s="43"/>
      <c r="EB77" s="43"/>
      <c r="EC77" s="43"/>
      <c r="ED77" s="43"/>
      <c r="EE77" s="43"/>
      <c r="EF77" s="43"/>
      <c r="EG77" s="43"/>
      <c r="EH77" s="43"/>
      <c r="EI77" s="43"/>
      <c r="EJ77" s="43"/>
      <c r="EK77" s="43"/>
      <c r="EL77" s="43"/>
      <c r="EM77" s="43"/>
      <c r="EN77" s="43"/>
      <c r="EO77" s="43"/>
      <c r="EP77" s="43"/>
      <c r="EQ77" s="43"/>
      <c r="ER77" s="43"/>
      <c r="ES77" s="43"/>
      <c r="ET77" s="43"/>
      <c r="EU77" s="43"/>
      <c r="EV77" s="43"/>
      <c r="EW77" s="43"/>
      <c r="EX77" s="43"/>
      <c r="EY77" s="43"/>
      <c r="EZ77" s="43"/>
      <c r="FA77" s="43"/>
      <c r="FB77" s="43"/>
      <c r="FC77" s="43"/>
      <c r="FD77" s="43"/>
      <c r="FE77" s="43"/>
      <c r="FF77" s="43"/>
      <c r="FG77" s="43"/>
      <c r="FH77" s="43"/>
      <c r="FI77" s="43"/>
      <c r="FJ77" s="43"/>
      <c r="FK77" s="43"/>
      <c r="FL77" s="43"/>
      <c r="FM77" s="43"/>
      <c r="FN77" s="43"/>
      <c r="FO77" s="43"/>
      <c r="FP77" s="43"/>
      <c r="FQ77" s="43"/>
      <c r="FR77" s="43"/>
      <c r="FS77" s="43"/>
      <c r="FT77" s="43"/>
      <c r="FU77" s="43"/>
      <c r="FV77" s="43"/>
      <c r="FW77" s="43"/>
      <c r="FX77" s="43"/>
      <c r="FY77" s="43"/>
      <c r="FZ77" s="43"/>
      <c r="GA77" s="43"/>
      <c r="GB77" s="43"/>
      <c r="GC77" s="43"/>
      <c r="GD77" s="43"/>
      <c r="GE77" s="43"/>
      <c r="GF77" s="43"/>
      <c r="GG77" s="43"/>
      <c r="GH77" s="43"/>
      <c r="GI77" s="43"/>
      <c r="GJ77" s="43"/>
      <c r="GK77" s="43"/>
      <c r="GL77" s="43"/>
      <c r="GM77" s="43"/>
      <c r="GN77" s="43"/>
      <c r="GO77" s="43"/>
      <c r="GP77" s="43"/>
      <c r="GQ77" s="43"/>
      <c r="GR77" s="43"/>
      <c r="GS77" s="43"/>
      <c r="GT77" s="43"/>
      <c r="GU77" s="43"/>
      <c r="GV77" s="43"/>
      <c r="GW77" s="43"/>
    </row>
    <row r="78" ht="15.0" customHeight="1">
      <c r="A78" s="318"/>
      <c r="B78" s="64" t="s">
        <v>675</v>
      </c>
      <c r="C78" s="49"/>
      <c r="D78" s="49"/>
      <c r="E78" s="49"/>
      <c r="F78" s="49"/>
      <c r="G78" s="50"/>
      <c r="H78" s="66" t="s">
        <v>676</v>
      </c>
      <c r="I78" s="49"/>
      <c r="J78" s="49"/>
      <c r="K78" s="49"/>
      <c r="L78" s="49"/>
      <c r="M78" s="49"/>
      <c r="N78" s="50"/>
      <c r="O78" s="66" t="s">
        <v>677</v>
      </c>
      <c r="P78" s="49"/>
      <c r="Q78" s="49"/>
      <c r="R78" s="49"/>
      <c r="S78" s="49"/>
      <c r="T78" s="49"/>
      <c r="U78" s="50"/>
      <c r="V78" s="66" t="s">
        <v>678</v>
      </c>
      <c r="W78" s="49"/>
      <c r="X78" s="49"/>
      <c r="Y78" s="49"/>
      <c r="Z78" s="49"/>
      <c r="AA78" s="49"/>
      <c r="AB78" s="50"/>
      <c r="AC78" s="64" t="s">
        <v>679</v>
      </c>
      <c r="AD78" s="49"/>
      <c r="AE78" s="49"/>
      <c r="AF78" s="49"/>
      <c r="AG78" s="49"/>
      <c r="AH78" s="49"/>
      <c r="AI78" s="50"/>
      <c r="AJ78" s="64" t="s">
        <v>680</v>
      </c>
      <c r="AK78" s="49"/>
      <c r="AL78" s="49"/>
      <c r="AM78" s="49"/>
      <c r="AN78" s="49"/>
      <c r="AO78" s="49"/>
      <c r="AP78" s="50"/>
      <c r="AQ78" s="431" t="s">
        <v>681</v>
      </c>
      <c r="AR78" s="49"/>
      <c r="AS78" s="50"/>
      <c r="AT78" s="432" t="s">
        <v>682</v>
      </c>
      <c r="AU78" s="49"/>
      <c r="AV78" s="49"/>
      <c r="AW78" s="49"/>
      <c r="AX78" s="49"/>
      <c r="AY78" s="49"/>
      <c r="AZ78" s="49"/>
      <c r="BA78" s="49"/>
      <c r="BB78" s="49"/>
      <c r="BC78" s="49"/>
      <c r="BD78" s="49"/>
      <c r="BE78" s="49"/>
      <c r="BF78" s="49"/>
      <c r="BG78" s="49"/>
      <c r="BH78" s="49"/>
      <c r="BI78" s="49"/>
      <c r="BJ78" s="49"/>
      <c r="BK78" s="49"/>
      <c r="BL78" s="49"/>
      <c r="BM78" s="49"/>
      <c r="BN78" s="49"/>
      <c r="BO78" s="49"/>
      <c r="BP78" s="49"/>
      <c r="BQ78" s="49"/>
      <c r="BR78" s="49"/>
      <c r="BS78" s="49"/>
      <c r="BT78" s="49"/>
      <c r="BU78" s="49"/>
      <c r="BV78" s="49"/>
      <c r="BW78" s="49"/>
      <c r="BX78" s="49"/>
      <c r="BY78" s="49"/>
      <c r="BZ78" s="49"/>
      <c r="CA78" s="49"/>
      <c r="CB78" s="49"/>
      <c r="CC78" s="49"/>
      <c r="CD78" s="49"/>
      <c r="CE78" s="49"/>
      <c r="CF78" s="49"/>
      <c r="CG78" s="49"/>
      <c r="CH78" s="49"/>
      <c r="CI78" s="49"/>
      <c r="CJ78" s="49"/>
      <c r="CK78" s="49"/>
      <c r="CL78" s="49"/>
      <c r="CM78" s="49"/>
      <c r="CN78" s="49"/>
      <c r="CO78" s="49"/>
      <c r="CP78" s="49"/>
      <c r="CQ78" s="49"/>
      <c r="CR78" s="49"/>
      <c r="CS78" s="49"/>
      <c r="CT78" s="49"/>
      <c r="CU78" s="49"/>
      <c r="CV78" s="49"/>
      <c r="CW78" s="49"/>
      <c r="CX78" s="49"/>
      <c r="CY78" s="49"/>
      <c r="CZ78" s="49"/>
      <c r="DA78" s="49"/>
      <c r="DB78" s="49"/>
      <c r="DC78" s="49"/>
      <c r="DD78" s="49"/>
      <c r="DE78" s="49"/>
      <c r="DF78" s="49"/>
      <c r="DG78" s="49"/>
      <c r="DH78" s="49"/>
      <c r="DI78" s="49"/>
      <c r="DJ78" s="50"/>
      <c r="DK78" s="53"/>
      <c r="DL78" s="43"/>
      <c r="DM78" s="43"/>
      <c r="DN78" s="43"/>
      <c r="DO78" s="43"/>
      <c r="DP78" s="43"/>
      <c r="DQ78" s="43"/>
      <c r="DR78" s="43"/>
      <c r="DS78" s="43"/>
      <c r="DT78" s="43"/>
      <c r="DU78" s="43"/>
      <c r="DV78" s="43"/>
      <c r="DW78" s="43"/>
      <c r="DX78" s="43"/>
      <c r="DY78" s="43"/>
      <c r="DZ78" s="43"/>
      <c r="EA78" s="43"/>
      <c r="EB78" s="43"/>
      <c r="EC78" s="43"/>
      <c r="ED78" s="43"/>
      <c r="EE78" s="43"/>
      <c r="EF78" s="43"/>
      <c r="EG78" s="43"/>
      <c r="EH78" s="43"/>
      <c r="EI78" s="43"/>
      <c r="EJ78" s="43"/>
      <c r="EK78" s="43"/>
      <c r="EL78" s="43"/>
      <c r="EM78" s="43"/>
      <c r="EN78" s="43"/>
      <c r="EO78" s="43"/>
      <c r="EP78" s="43"/>
      <c r="EQ78" s="43"/>
      <c r="ER78" s="43"/>
      <c r="ES78" s="43"/>
      <c r="ET78" s="43"/>
      <c r="EU78" s="43"/>
      <c r="EV78" s="43"/>
      <c r="EW78" s="43"/>
      <c r="EX78" s="43"/>
      <c r="EY78" s="43"/>
      <c r="EZ78" s="43"/>
      <c r="FA78" s="43"/>
      <c r="FB78" s="43"/>
      <c r="FC78" s="43"/>
      <c r="FD78" s="43"/>
      <c r="FE78" s="43"/>
      <c r="FF78" s="43"/>
      <c r="FG78" s="43"/>
      <c r="FH78" s="43"/>
      <c r="FI78" s="43"/>
      <c r="FJ78" s="43"/>
      <c r="FK78" s="43"/>
      <c r="FL78" s="43"/>
      <c r="FM78" s="43"/>
      <c r="FN78" s="43"/>
      <c r="FO78" s="43"/>
      <c r="FP78" s="43"/>
      <c r="FQ78" s="43"/>
      <c r="FR78" s="43"/>
      <c r="FS78" s="43"/>
      <c r="FT78" s="43"/>
      <c r="FU78" s="43"/>
      <c r="FV78" s="43"/>
      <c r="FW78" s="43"/>
      <c r="FX78" s="43"/>
      <c r="FY78" s="43"/>
      <c r="FZ78" s="43"/>
      <c r="GA78" s="43"/>
      <c r="GB78" s="43"/>
      <c r="GC78" s="43"/>
      <c r="GD78" s="43"/>
      <c r="GE78" s="43"/>
      <c r="GF78" s="43"/>
      <c r="GG78" s="43"/>
      <c r="GH78" s="43"/>
      <c r="GI78" s="43"/>
      <c r="GJ78" s="43"/>
      <c r="GK78" s="43"/>
      <c r="GL78" s="43"/>
      <c r="GM78" s="43"/>
      <c r="GN78" s="43"/>
      <c r="GO78" s="43"/>
      <c r="GP78" s="43"/>
      <c r="GQ78" s="43"/>
      <c r="GR78" s="43"/>
      <c r="GS78" s="43"/>
      <c r="GT78" s="43"/>
      <c r="GU78" s="43"/>
      <c r="GV78" s="43"/>
      <c r="GW78" s="43"/>
    </row>
    <row r="79" ht="15.0" customHeight="1">
      <c r="A79" s="318"/>
      <c r="B79" s="70"/>
      <c r="C79" s="57"/>
      <c r="D79" s="57"/>
      <c r="E79" s="57"/>
      <c r="F79" s="57"/>
      <c r="G79" s="58"/>
      <c r="H79" s="70"/>
      <c r="I79" s="57"/>
      <c r="J79" s="57"/>
      <c r="K79" s="57"/>
      <c r="L79" s="57"/>
      <c r="M79" s="57"/>
      <c r="N79" s="58"/>
      <c r="O79" s="70"/>
      <c r="P79" s="57"/>
      <c r="Q79" s="57"/>
      <c r="R79" s="57"/>
      <c r="S79" s="57"/>
      <c r="T79" s="57"/>
      <c r="U79" s="58"/>
      <c r="V79" s="70"/>
      <c r="W79" s="57"/>
      <c r="X79" s="57"/>
      <c r="Y79" s="57"/>
      <c r="Z79" s="57"/>
      <c r="AA79" s="57"/>
      <c r="AB79" s="58"/>
      <c r="AC79" s="70"/>
      <c r="AD79" s="57"/>
      <c r="AE79" s="57"/>
      <c r="AF79" s="57"/>
      <c r="AG79" s="57"/>
      <c r="AH79" s="57"/>
      <c r="AI79" s="58"/>
      <c r="AJ79" s="70"/>
      <c r="AK79" s="57"/>
      <c r="AL79" s="57"/>
      <c r="AM79" s="57"/>
      <c r="AN79" s="57"/>
      <c r="AO79" s="57"/>
      <c r="AP79" s="58"/>
      <c r="AQ79" s="59"/>
      <c r="AS79" s="60"/>
      <c r="AT79" s="70"/>
      <c r="AU79" s="57"/>
      <c r="AV79" s="57"/>
      <c r="AW79" s="57"/>
      <c r="AX79" s="57"/>
      <c r="AY79" s="57"/>
      <c r="AZ79" s="57"/>
      <c r="BA79" s="57"/>
      <c r="BB79" s="57"/>
      <c r="BC79" s="57"/>
      <c r="BD79" s="57"/>
      <c r="BE79" s="57"/>
      <c r="BF79" s="57"/>
      <c r="BG79" s="57"/>
      <c r="BH79" s="57"/>
      <c r="BI79" s="57"/>
      <c r="BJ79" s="57"/>
      <c r="BK79" s="57"/>
      <c r="BL79" s="57"/>
      <c r="BM79" s="57"/>
      <c r="BN79" s="57"/>
      <c r="BO79" s="57"/>
      <c r="BP79" s="57"/>
      <c r="BQ79" s="57"/>
      <c r="BR79" s="57"/>
      <c r="BS79" s="57"/>
      <c r="BT79" s="57"/>
      <c r="BU79" s="57"/>
      <c r="BV79" s="57"/>
      <c r="BW79" s="57"/>
      <c r="BX79" s="57"/>
      <c r="BY79" s="57"/>
      <c r="BZ79" s="57"/>
      <c r="CA79" s="57"/>
      <c r="CB79" s="57"/>
      <c r="CC79" s="57"/>
      <c r="CD79" s="57"/>
      <c r="CE79" s="57"/>
      <c r="CF79" s="57"/>
      <c r="CG79" s="57"/>
      <c r="CH79" s="57"/>
      <c r="CI79" s="57"/>
      <c r="CJ79" s="57"/>
      <c r="CK79" s="57"/>
      <c r="CL79" s="57"/>
      <c r="CM79" s="57"/>
      <c r="CN79" s="57"/>
      <c r="CO79" s="57"/>
      <c r="CP79" s="57"/>
      <c r="CQ79" s="57"/>
      <c r="CR79" s="57"/>
      <c r="CS79" s="57"/>
      <c r="CT79" s="57"/>
      <c r="CU79" s="57"/>
      <c r="CV79" s="57"/>
      <c r="CW79" s="57"/>
      <c r="CX79" s="57"/>
      <c r="CY79" s="57"/>
      <c r="CZ79" s="57"/>
      <c r="DA79" s="57"/>
      <c r="DB79" s="57"/>
      <c r="DC79" s="57"/>
      <c r="DD79" s="57"/>
      <c r="DE79" s="57"/>
      <c r="DF79" s="57"/>
      <c r="DG79" s="57"/>
      <c r="DH79" s="57"/>
      <c r="DI79" s="57"/>
      <c r="DJ79" s="58"/>
      <c r="DK79" s="53"/>
      <c r="DL79" s="43"/>
      <c r="DM79" s="43"/>
      <c r="DN79" s="43"/>
      <c r="DO79" s="43"/>
      <c r="DP79" s="43"/>
      <c r="DQ79" s="43"/>
      <c r="DR79" s="43"/>
      <c r="DS79" s="43"/>
      <c r="DT79" s="43"/>
      <c r="DU79" s="43"/>
      <c r="DV79" s="43"/>
      <c r="DW79" s="43"/>
      <c r="DX79" s="43"/>
      <c r="DY79" s="43"/>
      <c r="DZ79" s="43"/>
      <c r="EA79" s="43"/>
      <c r="EB79" s="43"/>
      <c r="EC79" s="43"/>
      <c r="ED79" s="43"/>
      <c r="EE79" s="43"/>
      <c r="EF79" s="43"/>
      <c r="EG79" s="43"/>
      <c r="EH79" s="43"/>
      <c r="EI79" s="43"/>
      <c r="EJ79" s="43"/>
      <c r="EK79" s="43"/>
      <c r="EL79" s="43"/>
      <c r="EM79" s="43"/>
      <c r="EN79" s="43"/>
      <c r="EO79" s="43"/>
      <c r="EP79" s="43"/>
      <c r="EQ79" s="43"/>
      <c r="ER79" s="43"/>
      <c r="ES79" s="43"/>
      <c r="ET79" s="43"/>
      <c r="EU79" s="43"/>
      <c r="EV79" s="43"/>
      <c r="EW79" s="43"/>
      <c r="EX79" s="43"/>
      <c r="EY79" s="43"/>
      <c r="EZ79" s="43"/>
      <c r="FA79" s="43"/>
      <c r="FB79" s="43"/>
      <c r="FC79" s="43"/>
      <c r="FD79" s="43"/>
      <c r="FE79" s="43"/>
      <c r="FF79" s="43"/>
      <c r="FG79" s="43"/>
      <c r="FH79" s="43"/>
      <c r="FI79" s="43"/>
      <c r="FJ79" s="43"/>
      <c r="FK79" s="43"/>
      <c r="FL79" s="43"/>
      <c r="FM79" s="43"/>
      <c r="FN79" s="43"/>
      <c r="FO79" s="43"/>
      <c r="FP79" s="43"/>
      <c r="FQ79" s="43"/>
      <c r="FR79" s="43"/>
      <c r="FS79" s="43"/>
      <c r="FT79" s="43"/>
      <c r="FU79" s="43"/>
      <c r="FV79" s="43"/>
      <c r="FW79" s="43"/>
      <c r="FX79" s="43"/>
      <c r="FY79" s="43"/>
      <c r="FZ79" s="43"/>
      <c r="GA79" s="43"/>
      <c r="GB79" s="43"/>
      <c r="GC79" s="43"/>
      <c r="GD79" s="43"/>
      <c r="GE79" s="43"/>
      <c r="GF79" s="43"/>
      <c r="GG79" s="43"/>
      <c r="GH79" s="43"/>
      <c r="GI79" s="43"/>
      <c r="GJ79" s="43"/>
      <c r="GK79" s="43"/>
      <c r="GL79" s="43"/>
      <c r="GM79" s="43"/>
      <c r="GN79" s="43"/>
      <c r="GO79" s="43"/>
      <c r="GP79" s="43"/>
      <c r="GQ79" s="43"/>
      <c r="GR79" s="43"/>
      <c r="GS79" s="43"/>
      <c r="GT79" s="43"/>
      <c r="GU79" s="43"/>
      <c r="GV79" s="43"/>
      <c r="GW79" s="43"/>
    </row>
    <row r="80" ht="15.0" customHeight="1">
      <c r="A80" s="318"/>
      <c r="B80" s="64" t="s">
        <v>359</v>
      </c>
      <c r="C80" s="49"/>
      <c r="D80" s="49"/>
      <c r="E80" s="49"/>
      <c r="F80" s="49"/>
      <c r="G80" s="50"/>
      <c r="H80" s="433"/>
      <c r="I80" s="49"/>
      <c r="J80" s="49"/>
      <c r="K80" s="49"/>
      <c r="L80" s="49"/>
      <c r="M80" s="49"/>
      <c r="N80" s="50"/>
      <c r="O80" s="434"/>
      <c r="P80" s="49"/>
      <c r="Q80" s="49"/>
      <c r="R80" s="49"/>
      <c r="S80" s="49"/>
      <c r="T80" s="49"/>
      <c r="U80" s="50"/>
      <c r="V80" s="435"/>
      <c r="W80" s="49"/>
      <c r="X80" s="49"/>
      <c r="Y80" s="49"/>
      <c r="Z80" s="49"/>
      <c r="AA80" s="49"/>
      <c r="AB80" s="50"/>
      <c r="AC80" s="436"/>
      <c r="AD80" s="49"/>
      <c r="AE80" s="49"/>
      <c r="AF80" s="49"/>
      <c r="AG80" s="49"/>
      <c r="AH80" s="49"/>
      <c r="AI80" s="50"/>
      <c r="AJ80" s="435"/>
      <c r="AK80" s="49"/>
      <c r="AL80" s="49"/>
      <c r="AM80" s="49"/>
      <c r="AN80" s="49"/>
      <c r="AO80" s="49"/>
      <c r="AP80" s="50"/>
      <c r="AQ80" s="59"/>
      <c r="AS80" s="60"/>
      <c r="AT80" s="64" t="s">
        <v>359</v>
      </c>
      <c r="AU80" s="49"/>
      <c r="AV80" s="49"/>
      <c r="AW80" s="49"/>
      <c r="AX80" s="49"/>
      <c r="AY80" s="50"/>
      <c r="AZ80" s="468"/>
      <c r="BA80" s="49"/>
      <c r="BB80" s="49"/>
      <c r="BC80" s="49"/>
      <c r="BD80" s="49"/>
      <c r="BE80" s="49"/>
      <c r="BF80" s="50"/>
      <c r="BG80" s="478"/>
      <c r="BH80" s="49"/>
      <c r="BI80" s="49"/>
      <c r="BJ80" s="49"/>
      <c r="BK80" s="49"/>
      <c r="BL80" s="49"/>
      <c r="BM80" s="50"/>
      <c r="BN80" s="439"/>
      <c r="BO80" s="49"/>
      <c r="BP80" s="49"/>
      <c r="BQ80" s="49"/>
      <c r="BR80" s="49"/>
      <c r="BS80" s="49"/>
      <c r="BT80" s="50"/>
      <c r="BU80" s="439"/>
      <c r="BV80" s="49"/>
      <c r="BW80" s="49"/>
      <c r="BX80" s="49"/>
      <c r="BY80" s="49"/>
      <c r="BZ80" s="49"/>
      <c r="CA80" s="50"/>
      <c r="CB80" s="439"/>
      <c r="CC80" s="49"/>
      <c r="CD80" s="49"/>
      <c r="CE80" s="49"/>
      <c r="CF80" s="49"/>
      <c r="CG80" s="49"/>
      <c r="CH80" s="50"/>
      <c r="CI80" s="439"/>
      <c r="CJ80" s="49"/>
      <c r="CK80" s="49"/>
      <c r="CL80" s="49"/>
      <c r="CM80" s="49"/>
      <c r="CN80" s="49"/>
      <c r="CO80" s="50"/>
      <c r="CP80" s="439"/>
      <c r="CQ80" s="49"/>
      <c r="CR80" s="49"/>
      <c r="CS80" s="49"/>
      <c r="CT80" s="49"/>
      <c r="CU80" s="49"/>
      <c r="CV80" s="50"/>
      <c r="CW80" s="439"/>
      <c r="CX80" s="49"/>
      <c r="CY80" s="49"/>
      <c r="CZ80" s="49"/>
      <c r="DA80" s="49"/>
      <c r="DB80" s="49"/>
      <c r="DC80" s="50"/>
      <c r="DD80" s="439"/>
      <c r="DE80" s="49"/>
      <c r="DF80" s="49"/>
      <c r="DG80" s="49"/>
      <c r="DH80" s="49"/>
      <c r="DI80" s="49"/>
      <c r="DJ80" s="50"/>
      <c r="DK80" s="53"/>
      <c r="DL80" s="43"/>
      <c r="DM80" s="43"/>
      <c r="DN80" s="43"/>
      <c r="DO80" s="43"/>
      <c r="DP80" s="43"/>
      <c r="DQ80" s="43"/>
      <c r="DR80" s="43"/>
      <c r="DS80" s="43"/>
      <c r="DT80" s="43"/>
      <c r="DU80" s="43"/>
      <c r="DV80" s="43"/>
      <c r="DW80" s="43"/>
      <c r="DX80" s="43"/>
      <c r="DY80" s="43"/>
      <c r="DZ80" s="43"/>
      <c r="EA80" s="43"/>
      <c r="EB80" s="43"/>
      <c r="EC80" s="43"/>
      <c r="ED80" s="43"/>
      <c r="EE80" s="43"/>
      <c r="EF80" s="43"/>
      <c r="EG80" s="43"/>
      <c r="EH80" s="43"/>
      <c r="EI80" s="43"/>
      <c r="EJ80" s="43"/>
      <c r="EK80" s="43"/>
      <c r="EL80" s="43"/>
      <c r="EM80" s="43"/>
      <c r="EN80" s="43"/>
      <c r="EO80" s="43"/>
      <c r="EP80" s="43"/>
      <c r="EQ80" s="43"/>
      <c r="ER80" s="43"/>
      <c r="ES80" s="43"/>
      <c r="ET80" s="43"/>
      <c r="EU80" s="43"/>
      <c r="EV80" s="43"/>
      <c r="EW80" s="43"/>
      <c r="EX80" s="43"/>
      <c r="EY80" s="43"/>
      <c r="EZ80" s="43"/>
      <c r="FA80" s="43"/>
      <c r="FB80" s="43"/>
      <c r="FC80" s="43"/>
      <c r="FD80" s="43"/>
      <c r="FE80" s="43"/>
      <c r="FF80" s="43"/>
      <c r="FG80" s="43"/>
      <c r="FH80" s="43"/>
      <c r="FI80" s="43"/>
      <c r="FJ80" s="43"/>
      <c r="FK80" s="43"/>
      <c r="FL80" s="43"/>
      <c r="FM80" s="43"/>
      <c r="FN80" s="43"/>
      <c r="FO80" s="43"/>
      <c r="FP80" s="43"/>
      <c r="FQ80" s="43"/>
      <c r="FR80" s="43"/>
      <c r="FS80" s="43"/>
      <c r="FT80" s="43"/>
      <c r="FU80" s="43"/>
      <c r="FV80" s="43"/>
      <c r="FW80" s="43"/>
      <c r="FX80" s="43"/>
      <c r="FY80" s="43"/>
      <c r="FZ80" s="43"/>
      <c r="GA80" s="43"/>
      <c r="GB80" s="43"/>
      <c r="GC80" s="43"/>
      <c r="GD80" s="43"/>
      <c r="GE80" s="43"/>
      <c r="GF80" s="43"/>
      <c r="GG80" s="43"/>
      <c r="GH80" s="43"/>
      <c r="GI80" s="43"/>
      <c r="GJ80" s="43"/>
      <c r="GK80" s="43"/>
      <c r="GL80" s="43"/>
      <c r="GM80" s="43"/>
      <c r="GN80" s="43"/>
      <c r="GO80" s="43"/>
      <c r="GP80" s="43"/>
      <c r="GQ80" s="43"/>
      <c r="GR80" s="43"/>
      <c r="GS80" s="43"/>
      <c r="GT80" s="43"/>
      <c r="GU80" s="43"/>
      <c r="GV80" s="43"/>
      <c r="GW80" s="43"/>
    </row>
    <row r="81" ht="15.0" customHeight="1">
      <c r="A81" s="318"/>
      <c r="B81" s="70"/>
      <c r="C81" s="57"/>
      <c r="D81" s="57"/>
      <c r="E81" s="57"/>
      <c r="F81" s="57"/>
      <c r="G81" s="58"/>
      <c r="H81" s="70"/>
      <c r="I81" s="57"/>
      <c r="J81" s="57"/>
      <c r="K81" s="57"/>
      <c r="L81" s="57"/>
      <c r="M81" s="57"/>
      <c r="N81" s="58"/>
      <c r="O81" s="70"/>
      <c r="P81" s="57"/>
      <c r="Q81" s="57"/>
      <c r="R81" s="57"/>
      <c r="S81" s="57"/>
      <c r="T81" s="57"/>
      <c r="U81" s="58"/>
      <c r="V81" s="70"/>
      <c r="W81" s="57"/>
      <c r="X81" s="57"/>
      <c r="Y81" s="57"/>
      <c r="Z81" s="57"/>
      <c r="AA81" s="57"/>
      <c r="AB81" s="58"/>
      <c r="AC81" s="70"/>
      <c r="AD81" s="57"/>
      <c r="AE81" s="57"/>
      <c r="AF81" s="57"/>
      <c r="AG81" s="57"/>
      <c r="AH81" s="57"/>
      <c r="AI81" s="58"/>
      <c r="AJ81" s="70"/>
      <c r="AK81" s="57"/>
      <c r="AL81" s="57"/>
      <c r="AM81" s="57"/>
      <c r="AN81" s="57"/>
      <c r="AO81" s="57"/>
      <c r="AP81" s="58"/>
      <c r="AQ81" s="59"/>
      <c r="AS81" s="60"/>
      <c r="AT81" s="70"/>
      <c r="AU81" s="57"/>
      <c r="AV81" s="57"/>
      <c r="AW81" s="57"/>
      <c r="AX81" s="57"/>
      <c r="AY81" s="58"/>
      <c r="AZ81" s="70"/>
      <c r="BA81" s="57"/>
      <c r="BB81" s="57"/>
      <c r="BC81" s="57"/>
      <c r="BD81" s="57"/>
      <c r="BE81" s="57"/>
      <c r="BF81" s="58"/>
      <c r="BG81" s="70"/>
      <c r="BH81" s="57"/>
      <c r="BI81" s="57"/>
      <c r="BJ81" s="57"/>
      <c r="BK81" s="57"/>
      <c r="BL81" s="57"/>
      <c r="BM81" s="58"/>
      <c r="BN81" s="70"/>
      <c r="BO81" s="57"/>
      <c r="BP81" s="57"/>
      <c r="BQ81" s="57"/>
      <c r="BR81" s="57"/>
      <c r="BS81" s="57"/>
      <c r="BT81" s="58"/>
      <c r="BU81" s="70"/>
      <c r="BV81" s="57"/>
      <c r="BW81" s="57"/>
      <c r="BX81" s="57"/>
      <c r="BY81" s="57"/>
      <c r="BZ81" s="57"/>
      <c r="CA81" s="58"/>
      <c r="CB81" s="70"/>
      <c r="CC81" s="57"/>
      <c r="CD81" s="57"/>
      <c r="CE81" s="57"/>
      <c r="CF81" s="57"/>
      <c r="CG81" s="57"/>
      <c r="CH81" s="58"/>
      <c r="CI81" s="70"/>
      <c r="CJ81" s="57"/>
      <c r="CK81" s="57"/>
      <c r="CL81" s="57"/>
      <c r="CM81" s="57"/>
      <c r="CN81" s="57"/>
      <c r="CO81" s="58"/>
      <c r="CP81" s="70"/>
      <c r="CQ81" s="57"/>
      <c r="CR81" s="57"/>
      <c r="CS81" s="57"/>
      <c r="CT81" s="57"/>
      <c r="CU81" s="57"/>
      <c r="CV81" s="58"/>
      <c r="CW81" s="70"/>
      <c r="CX81" s="57"/>
      <c r="CY81" s="57"/>
      <c r="CZ81" s="57"/>
      <c r="DA81" s="57"/>
      <c r="DB81" s="57"/>
      <c r="DC81" s="58"/>
      <c r="DD81" s="70"/>
      <c r="DE81" s="57"/>
      <c r="DF81" s="57"/>
      <c r="DG81" s="57"/>
      <c r="DH81" s="57"/>
      <c r="DI81" s="57"/>
      <c r="DJ81" s="58"/>
      <c r="DK81" s="53"/>
      <c r="DL81" s="43"/>
      <c r="DM81" s="43"/>
      <c r="DN81" s="43"/>
      <c r="DO81" s="43"/>
      <c r="DP81" s="43"/>
      <c r="DQ81" s="43"/>
      <c r="DR81" s="43"/>
      <c r="DS81" s="43"/>
      <c r="DT81" s="43"/>
      <c r="DU81" s="43"/>
      <c r="DV81" s="43"/>
      <c r="DW81" s="43"/>
      <c r="DX81" s="43"/>
      <c r="DY81" s="43"/>
      <c r="DZ81" s="43"/>
      <c r="EA81" s="43"/>
      <c r="EB81" s="43"/>
      <c r="EC81" s="43"/>
      <c r="ED81" s="43"/>
      <c r="EE81" s="43"/>
      <c r="EF81" s="43"/>
      <c r="EG81" s="43"/>
      <c r="EH81" s="43"/>
      <c r="EI81" s="43"/>
      <c r="EJ81" s="43"/>
      <c r="EK81" s="43"/>
      <c r="EL81" s="43"/>
      <c r="EM81" s="43"/>
      <c r="EN81" s="43"/>
      <c r="EO81" s="43"/>
      <c r="EP81" s="43"/>
      <c r="EQ81" s="43"/>
      <c r="ER81" s="43"/>
      <c r="ES81" s="43"/>
      <c r="ET81" s="43"/>
      <c r="EU81" s="43"/>
      <c r="EV81" s="43"/>
      <c r="EW81" s="43"/>
      <c r="EX81" s="43"/>
      <c r="EY81" s="43"/>
      <c r="EZ81" s="43"/>
      <c r="FA81" s="43"/>
      <c r="FB81" s="43"/>
      <c r="FC81" s="43"/>
      <c r="FD81" s="43"/>
      <c r="FE81" s="43"/>
      <c r="FF81" s="43"/>
      <c r="FG81" s="43"/>
      <c r="FH81" s="43"/>
      <c r="FI81" s="43"/>
      <c r="FJ81" s="43"/>
      <c r="FK81" s="43"/>
      <c r="FL81" s="43"/>
      <c r="FM81" s="43"/>
      <c r="FN81" s="43"/>
      <c r="FO81" s="43"/>
      <c r="FP81" s="43"/>
      <c r="FQ81" s="43"/>
      <c r="FR81" s="43"/>
      <c r="FS81" s="43"/>
      <c r="FT81" s="43"/>
      <c r="FU81" s="43"/>
      <c r="FV81" s="43"/>
      <c r="FW81" s="43"/>
      <c r="FX81" s="43"/>
      <c r="FY81" s="43"/>
      <c r="FZ81" s="43"/>
      <c r="GA81" s="43"/>
      <c r="GB81" s="43"/>
      <c r="GC81" s="43"/>
      <c r="GD81" s="43"/>
      <c r="GE81" s="43"/>
      <c r="GF81" s="43"/>
      <c r="GG81" s="43"/>
      <c r="GH81" s="43"/>
      <c r="GI81" s="43"/>
      <c r="GJ81" s="43"/>
      <c r="GK81" s="43"/>
      <c r="GL81" s="43"/>
      <c r="GM81" s="43"/>
      <c r="GN81" s="43"/>
      <c r="GO81" s="43"/>
      <c r="GP81" s="43"/>
      <c r="GQ81" s="43"/>
      <c r="GR81" s="43"/>
      <c r="GS81" s="43"/>
      <c r="GT81" s="43"/>
      <c r="GU81" s="43"/>
      <c r="GV81" s="43"/>
      <c r="GW81" s="43"/>
    </row>
    <row r="82" ht="15.0" customHeight="1">
      <c r="A82" s="318"/>
      <c r="B82" s="64" t="s">
        <v>686</v>
      </c>
      <c r="C82" s="49"/>
      <c r="D82" s="49"/>
      <c r="E82" s="49"/>
      <c r="F82" s="49"/>
      <c r="G82" s="50"/>
      <c r="H82" s="440"/>
      <c r="I82" s="49"/>
      <c r="J82" s="49"/>
      <c r="K82" s="49"/>
      <c r="L82" s="49"/>
      <c r="M82" s="49"/>
      <c r="N82" s="50"/>
      <c r="O82" s="440"/>
      <c r="P82" s="49"/>
      <c r="Q82" s="49"/>
      <c r="R82" s="49"/>
      <c r="S82" s="49"/>
      <c r="T82" s="49"/>
      <c r="U82" s="50"/>
      <c r="V82" s="441"/>
      <c r="W82" s="49"/>
      <c r="X82" s="49"/>
      <c r="Y82" s="49"/>
      <c r="Z82" s="49"/>
      <c r="AA82" s="49"/>
      <c r="AB82" s="50"/>
      <c r="AC82" s="440"/>
      <c r="AD82" s="49"/>
      <c r="AE82" s="49"/>
      <c r="AF82" s="49"/>
      <c r="AG82" s="49"/>
      <c r="AH82" s="49"/>
      <c r="AI82" s="50"/>
      <c r="AJ82" s="441"/>
      <c r="AK82" s="49"/>
      <c r="AL82" s="49"/>
      <c r="AM82" s="49"/>
      <c r="AN82" s="49"/>
      <c r="AO82" s="49"/>
      <c r="AP82" s="50"/>
      <c r="AQ82" s="59"/>
      <c r="AS82" s="60"/>
      <c r="AT82" s="64" t="s">
        <v>686</v>
      </c>
      <c r="AU82" s="49"/>
      <c r="AV82" s="49"/>
      <c r="AW82" s="49"/>
      <c r="AX82" s="49"/>
      <c r="AY82" s="50"/>
      <c r="AZ82" s="440"/>
      <c r="BA82" s="49"/>
      <c r="BB82" s="49"/>
      <c r="BC82" s="49"/>
      <c r="BD82" s="49"/>
      <c r="BE82" s="49"/>
      <c r="BF82" s="50"/>
      <c r="BG82" s="479"/>
      <c r="BH82" s="49"/>
      <c r="BI82" s="49"/>
      <c r="BJ82" s="49"/>
      <c r="BK82" s="49"/>
      <c r="BL82" s="49"/>
      <c r="BM82" s="50"/>
      <c r="BN82" s="444"/>
      <c r="BO82" s="49"/>
      <c r="BP82" s="49"/>
      <c r="BQ82" s="49"/>
      <c r="BR82" s="49"/>
      <c r="BS82" s="49"/>
      <c r="BT82" s="50"/>
      <c r="BU82" s="444"/>
      <c r="BV82" s="49"/>
      <c r="BW82" s="49"/>
      <c r="BX82" s="49"/>
      <c r="BY82" s="49"/>
      <c r="BZ82" s="49"/>
      <c r="CA82" s="50"/>
      <c r="CB82" s="444"/>
      <c r="CC82" s="49"/>
      <c r="CD82" s="49"/>
      <c r="CE82" s="49"/>
      <c r="CF82" s="49"/>
      <c r="CG82" s="49"/>
      <c r="CH82" s="50"/>
      <c r="CI82" s="444"/>
      <c r="CJ82" s="49"/>
      <c r="CK82" s="49"/>
      <c r="CL82" s="49"/>
      <c r="CM82" s="49"/>
      <c r="CN82" s="49"/>
      <c r="CO82" s="50"/>
      <c r="CP82" s="444"/>
      <c r="CQ82" s="49"/>
      <c r="CR82" s="49"/>
      <c r="CS82" s="49"/>
      <c r="CT82" s="49"/>
      <c r="CU82" s="49"/>
      <c r="CV82" s="50"/>
      <c r="CW82" s="444"/>
      <c r="CX82" s="49"/>
      <c r="CY82" s="49"/>
      <c r="CZ82" s="49"/>
      <c r="DA82" s="49"/>
      <c r="DB82" s="49"/>
      <c r="DC82" s="50"/>
      <c r="DD82" s="444"/>
      <c r="DE82" s="49"/>
      <c r="DF82" s="49"/>
      <c r="DG82" s="49"/>
      <c r="DH82" s="49"/>
      <c r="DI82" s="49"/>
      <c r="DJ82" s="50"/>
      <c r="DK82" s="53"/>
      <c r="DL82" s="43"/>
      <c r="DM82" s="43"/>
      <c r="DN82" s="43"/>
      <c r="DO82" s="43"/>
      <c r="DP82" s="43"/>
      <c r="DQ82" s="43"/>
      <c r="DR82" s="43"/>
      <c r="DS82" s="43"/>
      <c r="DT82" s="43"/>
      <c r="DU82" s="43"/>
      <c r="DV82" s="43"/>
      <c r="DW82" s="43"/>
      <c r="DX82" s="43"/>
      <c r="DY82" s="43"/>
      <c r="DZ82" s="43"/>
      <c r="EA82" s="43"/>
      <c r="EB82" s="43"/>
      <c r="EC82" s="43"/>
      <c r="ED82" s="43"/>
      <c r="EE82" s="43"/>
      <c r="EF82" s="43"/>
      <c r="EG82" s="43"/>
      <c r="EH82" s="43"/>
      <c r="EI82" s="43"/>
      <c r="EJ82" s="43"/>
      <c r="EK82" s="43"/>
      <c r="EL82" s="43"/>
      <c r="EM82" s="43"/>
      <c r="EN82" s="43"/>
      <c r="EO82" s="43"/>
      <c r="EP82" s="43"/>
      <c r="EQ82" s="43"/>
      <c r="ER82" s="43"/>
      <c r="ES82" s="43"/>
      <c r="ET82" s="43"/>
      <c r="EU82" s="43"/>
      <c r="EV82" s="43"/>
      <c r="EW82" s="43"/>
      <c r="EX82" s="43"/>
      <c r="EY82" s="43"/>
      <c r="EZ82" s="43"/>
      <c r="FA82" s="43"/>
      <c r="FB82" s="43"/>
      <c r="FC82" s="43"/>
      <c r="FD82" s="43"/>
      <c r="FE82" s="43"/>
      <c r="FF82" s="43"/>
      <c r="FG82" s="43"/>
      <c r="FH82" s="43"/>
      <c r="FI82" s="43"/>
      <c r="FJ82" s="43"/>
      <c r="FK82" s="43"/>
      <c r="FL82" s="43"/>
      <c r="FM82" s="43"/>
      <c r="FN82" s="43"/>
      <c r="FO82" s="43"/>
      <c r="FP82" s="43"/>
      <c r="FQ82" s="43"/>
      <c r="FR82" s="43"/>
      <c r="FS82" s="43"/>
      <c r="FT82" s="43"/>
      <c r="FU82" s="43"/>
      <c r="FV82" s="43"/>
      <c r="FW82" s="43"/>
      <c r="FX82" s="43"/>
      <c r="FY82" s="43"/>
      <c r="FZ82" s="43"/>
      <c r="GA82" s="43"/>
      <c r="GB82" s="43"/>
      <c r="GC82" s="43"/>
      <c r="GD82" s="43"/>
      <c r="GE82" s="43"/>
      <c r="GF82" s="43"/>
      <c r="GG82" s="43"/>
      <c r="GH82" s="43"/>
      <c r="GI82" s="43"/>
      <c r="GJ82" s="43"/>
      <c r="GK82" s="43"/>
      <c r="GL82" s="43"/>
      <c r="GM82" s="43"/>
      <c r="GN82" s="43"/>
      <c r="GO82" s="43"/>
      <c r="GP82" s="43"/>
      <c r="GQ82" s="43"/>
      <c r="GR82" s="43"/>
      <c r="GS82" s="43"/>
      <c r="GT82" s="43"/>
      <c r="GU82" s="43"/>
      <c r="GV82" s="43"/>
      <c r="GW82" s="43"/>
    </row>
    <row r="83" ht="15.0" customHeight="1">
      <c r="A83" s="318"/>
      <c r="B83" s="70"/>
      <c r="C83" s="57"/>
      <c r="D83" s="57"/>
      <c r="E83" s="57"/>
      <c r="F83" s="57"/>
      <c r="G83" s="58"/>
      <c r="H83" s="70"/>
      <c r="I83" s="57"/>
      <c r="J83" s="57"/>
      <c r="K83" s="57"/>
      <c r="L83" s="57"/>
      <c r="M83" s="57"/>
      <c r="N83" s="58"/>
      <c r="O83" s="70"/>
      <c r="P83" s="57"/>
      <c r="Q83" s="57"/>
      <c r="R83" s="57"/>
      <c r="S83" s="57"/>
      <c r="T83" s="57"/>
      <c r="U83" s="58"/>
      <c r="V83" s="70"/>
      <c r="W83" s="57"/>
      <c r="X83" s="57"/>
      <c r="Y83" s="57"/>
      <c r="Z83" s="57"/>
      <c r="AA83" s="57"/>
      <c r="AB83" s="58"/>
      <c r="AC83" s="70"/>
      <c r="AD83" s="57"/>
      <c r="AE83" s="57"/>
      <c r="AF83" s="57"/>
      <c r="AG83" s="57"/>
      <c r="AH83" s="57"/>
      <c r="AI83" s="58"/>
      <c r="AJ83" s="70"/>
      <c r="AK83" s="57"/>
      <c r="AL83" s="57"/>
      <c r="AM83" s="57"/>
      <c r="AN83" s="57"/>
      <c r="AO83" s="57"/>
      <c r="AP83" s="58"/>
      <c r="AQ83" s="59"/>
      <c r="AS83" s="60"/>
      <c r="AT83" s="70"/>
      <c r="AU83" s="57"/>
      <c r="AV83" s="57"/>
      <c r="AW83" s="57"/>
      <c r="AX83" s="57"/>
      <c r="AY83" s="58"/>
      <c r="AZ83" s="70"/>
      <c r="BA83" s="57"/>
      <c r="BB83" s="57"/>
      <c r="BC83" s="57"/>
      <c r="BD83" s="57"/>
      <c r="BE83" s="57"/>
      <c r="BF83" s="58"/>
      <c r="BG83" s="70"/>
      <c r="BH83" s="57"/>
      <c r="BI83" s="57"/>
      <c r="BJ83" s="57"/>
      <c r="BK83" s="57"/>
      <c r="BL83" s="57"/>
      <c r="BM83" s="58"/>
      <c r="BN83" s="70"/>
      <c r="BO83" s="57"/>
      <c r="BP83" s="57"/>
      <c r="BQ83" s="57"/>
      <c r="BR83" s="57"/>
      <c r="BS83" s="57"/>
      <c r="BT83" s="58"/>
      <c r="BU83" s="70"/>
      <c r="BV83" s="57"/>
      <c r="BW83" s="57"/>
      <c r="BX83" s="57"/>
      <c r="BY83" s="57"/>
      <c r="BZ83" s="57"/>
      <c r="CA83" s="58"/>
      <c r="CB83" s="70"/>
      <c r="CC83" s="57"/>
      <c r="CD83" s="57"/>
      <c r="CE83" s="57"/>
      <c r="CF83" s="57"/>
      <c r="CG83" s="57"/>
      <c r="CH83" s="58"/>
      <c r="CI83" s="70"/>
      <c r="CJ83" s="57"/>
      <c r="CK83" s="57"/>
      <c r="CL83" s="57"/>
      <c r="CM83" s="57"/>
      <c r="CN83" s="57"/>
      <c r="CO83" s="58"/>
      <c r="CP83" s="70"/>
      <c r="CQ83" s="57"/>
      <c r="CR83" s="57"/>
      <c r="CS83" s="57"/>
      <c r="CT83" s="57"/>
      <c r="CU83" s="57"/>
      <c r="CV83" s="58"/>
      <c r="CW83" s="70"/>
      <c r="CX83" s="57"/>
      <c r="CY83" s="57"/>
      <c r="CZ83" s="57"/>
      <c r="DA83" s="57"/>
      <c r="DB83" s="57"/>
      <c r="DC83" s="58"/>
      <c r="DD83" s="70"/>
      <c r="DE83" s="57"/>
      <c r="DF83" s="57"/>
      <c r="DG83" s="57"/>
      <c r="DH83" s="57"/>
      <c r="DI83" s="57"/>
      <c r="DJ83" s="58"/>
      <c r="DK83" s="53"/>
      <c r="DL83" s="43"/>
      <c r="DM83" s="43"/>
      <c r="DN83" s="43"/>
      <c r="DO83" s="43"/>
      <c r="DP83" s="43"/>
      <c r="DQ83" s="43"/>
      <c r="DR83" s="43"/>
      <c r="DS83" s="43"/>
      <c r="DT83" s="43"/>
      <c r="DU83" s="43"/>
      <c r="DV83" s="43"/>
      <c r="DW83" s="43"/>
      <c r="DX83" s="43"/>
      <c r="DY83" s="43"/>
      <c r="DZ83" s="43"/>
      <c r="EA83" s="43"/>
      <c r="EB83" s="43"/>
      <c r="EC83" s="43"/>
      <c r="ED83" s="43"/>
      <c r="EE83" s="43"/>
      <c r="EF83" s="43"/>
      <c r="EG83" s="43"/>
      <c r="EH83" s="43"/>
      <c r="EI83" s="43"/>
      <c r="EJ83" s="43"/>
      <c r="EK83" s="43"/>
      <c r="EL83" s="43"/>
      <c r="EM83" s="43"/>
      <c r="EN83" s="43"/>
      <c r="EO83" s="43"/>
      <c r="EP83" s="43"/>
      <c r="EQ83" s="43"/>
      <c r="ER83" s="43"/>
      <c r="ES83" s="43"/>
      <c r="ET83" s="43"/>
      <c r="EU83" s="43"/>
      <c r="EV83" s="43"/>
      <c r="EW83" s="43"/>
      <c r="EX83" s="43"/>
      <c r="EY83" s="43"/>
      <c r="EZ83" s="43"/>
      <c r="FA83" s="43"/>
      <c r="FB83" s="43"/>
      <c r="FC83" s="43"/>
      <c r="FD83" s="43"/>
      <c r="FE83" s="43"/>
      <c r="FF83" s="43"/>
      <c r="FG83" s="43"/>
      <c r="FH83" s="43"/>
      <c r="FI83" s="43"/>
      <c r="FJ83" s="43"/>
      <c r="FK83" s="43"/>
      <c r="FL83" s="43"/>
      <c r="FM83" s="43"/>
      <c r="FN83" s="43"/>
      <c r="FO83" s="43"/>
      <c r="FP83" s="43"/>
      <c r="FQ83" s="43"/>
      <c r="FR83" s="43"/>
      <c r="FS83" s="43"/>
      <c r="FT83" s="43"/>
      <c r="FU83" s="43"/>
      <c r="FV83" s="43"/>
      <c r="FW83" s="43"/>
      <c r="FX83" s="43"/>
      <c r="FY83" s="43"/>
      <c r="FZ83" s="43"/>
      <c r="GA83" s="43"/>
      <c r="GB83" s="43"/>
      <c r="GC83" s="43"/>
      <c r="GD83" s="43"/>
      <c r="GE83" s="43"/>
      <c r="GF83" s="43"/>
      <c r="GG83" s="43"/>
      <c r="GH83" s="43"/>
      <c r="GI83" s="43"/>
      <c r="GJ83" s="43"/>
      <c r="GK83" s="43"/>
      <c r="GL83" s="43"/>
      <c r="GM83" s="43"/>
      <c r="GN83" s="43"/>
      <c r="GO83" s="43"/>
      <c r="GP83" s="43"/>
      <c r="GQ83" s="43"/>
      <c r="GR83" s="43"/>
      <c r="GS83" s="43"/>
      <c r="GT83" s="43"/>
      <c r="GU83" s="43"/>
      <c r="GV83" s="43"/>
      <c r="GW83" s="43"/>
    </row>
    <row r="84" ht="15.0" customHeight="1">
      <c r="A84" s="318"/>
      <c r="B84" s="445" t="s">
        <v>689</v>
      </c>
      <c r="C84" s="49"/>
      <c r="D84" s="49"/>
      <c r="E84" s="49"/>
      <c r="F84" s="49"/>
      <c r="G84" s="50"/>
      <c r="H84" s="459"/>
      <c r="I84" s="49"/>
      <c r="J84" s="49"/>
      <c r="K84" s="49"/>
      <c r="L84" s="49"/>
      <c r="M84" s="49"/>
      <c r="N84" s="50"/>
      <c r="O84" s="459"/>
      <c r="P84" s="49"/>
      <c r="Q84" s="49"/>
      <c r="R84" s="49"/>
      <c r="S84" s="49"/>
      <c r="T84" s="49"/>
      <c r="U84" s="50"/>
      <c r="V84" s="459"/>
      <c r="W84" s="49"/>
      <c r="X84" s="49"/>
      <c r="Y84" s="49"/>
      <c r="Z84" s="49"/>
      <c r="AA84" s="49"/>
      <c r="AB84" s="50"/>
      <c r="AC84" s="459"/>
      <c r="AD84" s="49"/>
      <c r="AE84" s="49"/>
      <c r="AF84" s="49"/>
      <c r="AG84" s="49"/>
      <c r="AH84" s="49"/>
      <c r="AI84" s="50"/>
      <c r="AJ84" s="459"/>
      <c r="AK84" s="49"/>
      <c r="AL84" s="49"/>
      <c r="AM84" s="49"/>
      <c r="AN84" s="49"/>
      <c r="AO84" s="49"/>
      <c r="AP84" s="50"/>
      <c r="AQ84" s="59"/>
      <c r="AS84" s="60"/>
      <c r="AT84" s="445" t="s">
        <v>689</v>
      </c>
      <c r="AU84" s="49"/>
      <c r="AV84" s="49"/>
      <c r="AW84" s="49"/>
      <c r="AX84" s="49"/>
      <c r="AY84" s="50"/>
      <c r="AZ84" s="456"/>
      <c r="BA84" s="49"/>
      <c r="BB84" s="49"/>
      <c r="BC84" s="49"/>
      <c r="BD84" s="49"/>
      <c r="BE84" s="49"/>
      <c r="BF84" s="50"/>
      <c r="BG84" s="456"/>
      <c r="BH84" s="49"/>
      <c r="BI84" s="49"/>
      <c r="BJ84" s="49"/>
      <c r="BK84" s="49"/>
      <c r="BL84" s="49"/>
      <c r="BM84" s="50"/>
      <c r="BN84" s="449"/>
      <c r="BO84" s="49"/>
      <c r="BP84" s="49"/>
      <c r="BQ84" s="49"/>
      <c r="BR84" s="49"/>
      <c r="BS84" s="49"/>
      <c r="BT84" s="50"/>
      <c r="BU84" s="449"/>
      <c r="BV84" s="49"/>
      <c r="BW84" s="49"/>
      <c r="BX84" s="49"/>
      <c r="BY84" s="49"/>
      <c r="BZ84" s="49"/>
      <c r="CA84" s="50"/>
      <c r="CB84" s="449"/>
      <c r="CC84" s="49"/>
      <c r="CD84" s="49"/>
      <c r="CE84" s="49"/>
      <c r="CF84" s="49"/>
      <c r="CG84" s="49"/>
      <c r="CH84" s="50"/>
      <c r="CI84" s="449"/>
      <c r="CJ84" s="49"/>
      <c r="CK84" s="49"/>
      <c r="CL84" s="49"/>
      <c r="CM84" s="49"/>
      <c r="CN84" s="49"/>
      <c r="CO84" s="50"/>
      <c r="CP84" s="450"/>
      <c r="CQ84" s="49"/>
      <c r="CR84" s="49"/>
      <c r="CS84" s="49"/>
      <c r="CT84" s="49"/>
      <c r="CU84" s="49"/>
      <c r="CV84" s="50"/>
      <c r="CW84" s="449"/>
      <c r="CX84" s="49"/>
      <c r="CY84" s="49"/>
      <c r="CZ84" s="49"/>
      <c r="DA84" s="49"/>
      <c r="DB84" s="49"/>
      <c r="DC84" s="50"/>
      <c r="DD84" s="450"/>
      <c r="DE84" s="49"/>
      <c r="DF84" s="49"/>
      <c r="DG84" s="49"/>
      <c r="DH84" s="49"/>
      <c r="DI84" s="49"/>
      <c r="DJ84" s="50"/>
      <c r="DK84" s="53"/>
      <c r="DL84" s="43"/>
      <c r="DM84" s="43"/>
      <c r="DN84" s="43"/>
      <c r="DO84" s="43"/>
      <c r="DP84" s="43"/>
      <c r="DQ84" s="43"/>
      <c r="DR84" s="43"/>
      <c r="DS84" s="43"/>
      <c r="DT84" s="43"/>
      <c r="DU84" s="43"/>
      <c r="DV84" s="43"/>
      <c r="DW84" s="43"/>
      <c r="DX84" s="43"/>
      <c r="DY84" s="43"/>
      <c r="DZ84" s="43"/>
      <c r="EA84" s="43"/>
      <c r="EB84" s="43"/>
      <c r="EC84" s="43"/>
      <c r="ED84" s="43"/>
      <c r="EE84" s="43"/>
      <c r="EF84" s="43"/>
      <c r="EG84" s="43"/>
      <c r="EH84" s="43"/>
      <c r="EI84" s="43"/>
      <c r="EJ84" s="43"/>
      <c r="EK84" s="43"/>
      <c r="EL84" s="43"/>
      <c r="EM84" s="43"/>
      <c r="EN84" s="43"/>
      <c r="EO84" s="43"/>
      <c r="EP84" s="43"/>
      <c r="EQ84" s="43"/>
      <c r="ER84" s="43"/>
      <c r="ES84" s="43"/>
      <c r="ET84" s="43"/>
      <c r="EU84" s="43"/>
      <c r="EV84" s="43"/>
      <c r="EW84" s="43"/>
      <c r="EX84" s="43"/>
      <c r="EY84" s="43"/>
      <c r="EZ84" s="43"/>
      <c r="FA84" s="43"/>
      <c r="FB84" s="43"/>
      <c r="FC84" s="43"/>
      <c r="FD84" s="43"/>
      <c r="FE84" s="43"/>
      <c r="FF84" s="43"/>
      <c r="FG84" s="43"/>
      <c r="FH84" s="43"/>
      <c r="FI84" s="43"/>
      <c r="FJ84" s="43"/>
      <c r="FK84" s="43"/>
      <c r="FL84" s="43"/>
      <c r="FM84" s="43"/>
      <c r="FN84" s="43"/>
      <c r="FO84" s="43"/>
      <c r="FP84" s="43"/>
      <c r="FQ84" s="43"/>
      <c r="FR84" s="43"/>
      <c r="FS84" s="43"/>
      <c r="FT84" s="43"/>
      <c r="FU84" s="43"/>
      <c r="FV84" s="43"/>
      <c r="FW84" s="43"/>
      <c r="FX84" s="43"/>
      <c r="FY84" s="43"/>
      <c r="FZ84" s="43"/>
      <c r="GA84" s="43"/>
      <c r="GB84" s="43"/>
      <c r="GC84" s="43"/>
      <c r="GD84" s="43"/>
      <c r="GE84" s="43"/>
      <c r="GF84" s="43"/>
      <c r="GG84" s="43"/>
      <c r="GH84" s="43"/>
      <c r="GI84" s="43"/>
      <c r="GJ84" s="43"/>
      <c r="GK84" s="43"/>
      <c r="GL84" s="43"/>
      <c r="GM84" s="43"/>
      <c r="GN84" s="43"/>
      <c r="GO84" s="43"/>
      <c r="GP84" s="43"/>
      <c r="GQ84" s="43"/>
      <c r="GR84" s="43"/>
      <c r="GS84" s="43"/>
      <c r="GT84" s="43"/>
      <c r="GU84" s="43"/>
      <c r="GV84" s="43"/>
      <c r="GW84" s="43"/>
    </row>
    <row r="85" ht="15.0" customHeight="1">
      <c r="A85" s="318"/>
      <c r="B85" s="59"/>
      <c r="G85" s="60"/>
      <c r="H85" s="70"/>
      <c r="I85" s="57"/>
      <c r="J85" s="57"/>
      <c r="K85" s="57"/>
      <c r="L85" s="57"/>
      <c r="M85" s="57"/>
      <c r="N85" s="58"/>
      <c r="O85" s="70"/>
      <c r="P85" s="57"/>
      <c r="Q85" s="57"/>
      <c r="R85" s="57"/>
      <c r="S85" s="57"/>
      <c r="T85" s="57"/>
      <c r="U85" s="58"/>
      <c r="V85" s="70"/>
      <c r="W85" s="57"/>
      <c r="X85" s="57"/>
      <c r="Y85" s="57"/>
      <c r="Z85" s="57"/>
      <c r="AA85" s="57"/>
      <c r="AB85" s="58"/>
      <c r="AC85" s="70"/>
      <c r="AD85" s="57"/>
      <c r="AE85" s="57"/>
      <c r="AF85" s="57"/>
      <c r="AG85" s="57"/>
      <c r="AH85" s="57"/>
      <c r="AI85" s="58"/>
      <c r="AJ85" s="70"/>
      <c r="AK85" s="57"/>
      <c r="AL85" s="57"/>
      <c r="AM85" s="57"/>
      <c r="AN85" s="57"/>
      <c r="AO85" s="57"/>
      <c r="AP85" s="58"/>
      <c r="AQ85" s="59"/>
      <c r="AS85" s="60"/>
      <c r="AT85" s="59"/>
      <c r="AY85" s="60"/>
      <c r="AZ85" s="70"/>
      <c r="BA85" s="57"/>
      <c r="BB85" s="57"/>
      <c r="BC85" s="57"/>
      <c r="BD85" s="57"/>
      <c r="BE85" s="57"/>
      <c r="BF85" s="58"/>
      <c r="BG85" s="70"/>
      <c r="BH85" s="57"/>
      <c r="BI85" s="57"/>
      <c r="BJ85" s="57"/>
      <c r="BK85" s="57"/>
      <c r="BL85" s="57"/>
      <c r="BM85" s="58"/>
      <c r="BN85" s="70"/>
      <c r="BO85" s="57"/>
      <c r="BP85" s="57"/>
      <c r="BQ85" s="57"/>
      <c r="BR85" s="57"/>
      <c r="BS85" s="57"/>
      <c r="BT85" s="58"/>
      <c r="BU85" s="70"/>
      <c r="BV85" s="57"/>
      <c r="BW85" s="57"/>
      <c r="BX85" s="57"/>
      <c r="BY85" s="57"/>
      <c r="BZ85" s="57"/>
      <c r="CA85" s="58"/>
      <c r="CB85" s="70"/>
      <c r="CC85" s="57"/>
      <c r="CD85" s="57"/>
      <c r="CE85" s="57"/>
      <c r="CF85" s="57"/>
      <c r="CG85" s="57"/>
      <c r="CH85" s="58"/>
      <c r="CI85" s="70"/>
      <c r="CJ85" s="57"/>
      <c r="CK85" s="57"/>
      <c r="CL85" s="57"/>
      <c r="CM85" s="57"/>
      <c r="CN85" s="57"/>
      <c r="CO85" s="58"/>
      <c r="CP85" s="70"/>
      <c r="CQ85" s="57"/>
      <c r="CR85" s="57"/>
      <c r="CS85" s="57"/>
      <c r="CT85" s="57"/>
      <c r="CU85" s="57"/>
      <c r="CV85" s="58"/>
      <c r="CW85" s="70"/>
      <c r="CX85" s="57"/>
      <c r="CY85" s="57"/>
      <c r="CZ85" s="57"/>
      <c r="DA85" s="57"/>
      <c r="DB85" s="57"/>
      <c r="DC85" s="58"/>
      <c r="DD85" s="70"/>
      <c r="DE85" s="57"/>
      <c r="DF85" s="57"/>
      <c r="DG85" s="57"/>
      <c r="DH85" s="57"/>
      <c r="DI85" s="57"/>
      <c r="DJ85" s="58"/>
      <c r="DK85" s="53"/>
      <c r="DL85" s="43"/>
      <c r="DM85" s="43"/>
      <c r="DN85" s="43"/>
      <c r="DO85" s="43"/>
      <c r="DP85" s="43"/>
      <c r="DQ85" s="43"/>
      <c r="DR85" s="43"/>
      <c r="DS85" s="43"/>
      <c r="DT85" s="43"/>
      <c r="DU85" s="43"/>
      <c r="DV85" s="43"/>
      <c r="DW85" s="43"/>
      <c r="DX85" s="43"/>
      <c r="DY85" s="43"/>
      <c r="DZ85" s="43"/>
      <c r="EA85" s="43"/>
      <c r="EB85" s="43"/>
      <c r="EC85" s="43"/>
      <c r="ED85" s="43"/>
      <c r="EE85" s="43"/>
      <c r="EF85" s="43"/>
      <c r="EG85" s="43"/>
      <c r="EH85" s="43"/>
      <c r="EI85" s="43"/>
      <c r="EJ85" s="43"/>
      <c r="EK85" s="43"/>
      <c r="EL85" s="43"/>
      <c r="EM85" s="43"/>
      <c r="EN85" s="43"/>
      <c r="EO85" s="43"/>
      <c r="EP85" s="43"/>
      <c r="EQ85" s="43"/>
      <c r="ER85" s="43"/>
      <c r="ES85" s="43"/>
      <c r="ET85" s="43"/>
      <c r="EU85" s="43"/>
      <c r="EV85" s="43"/>
      <c r="EW85" s="43"/>
      <c r="EX85" s="43"/>
      <c r="EY85" s="43"/>
      <c r="EZ85" s="43"/>
      <c r="FA85" s="43"/>
      <c r="FB85" s="43"/>
      <c r="FC85" s="43"/>
      <c r="FD85" s="43"/>
      <c r="FE85" s="43"/>
      <c r="FF85" s="43"/>
      <c r="FG85" s="43"/>
      <c r="FH85" s="43"/>
      <c r="FI85" s="43"/>
      <c r="FJ85" s="43"/>
      <c r="FK85" s="43"/>
      <c r="FL85" s="43"/>
      <c r="FM85" s="43"/>
      <c r="FN85" s="43"/>
      <c r="FO85" s="43"/>
      <c r="FP85" s="43"/>
      <c r="FQ85" s="43"/>
      <c r="FR85" s="43"/>
      <c r="FS85" s="43"/>
      <c r="FT85" s="43"/>
      <c r="FU85" s="43"/>
      <c r="FV85" s="43"/>
      <c r="FW85" s="43"/>
      <c r="FX85" s="43"/>
      <c r="FY85" s="43"/>
      <c r="FZ85" s="43"/>
      <c r="GA85" s="43"/>
      <c r="GB85" s="43"/>
      <c r="GC85" s="43"/>
      <c r="GD85" s="43"/>
      <c r="GE85" s="43"/>
      <c r="GF85" s="43"/>
      <c r="GG85" s="43"/>
      <c r="GH85" s="43"/>
      <c r="GI85" s="43"/>
      <c r="GJ85" s="43"/>
      <c r="GK85" s="43"/>
      <c r="GL85" s="43"/>
      <c r="GM85" s="43"/>
      <c r="GN85" s="43"/>
      <c r="GO85" s="43"/>
      <c r="GP85" s="43"/>
      <c r="GQ85" s="43"/>
      <c r="GR85" s="43"/>
      <c r="GS85" s="43"/>
      <c r="GT85" s="43"/>
      <c r="GU85" s="43"/>
      <c r="GV85" s="43"/>
      <c r="GW85" s="43"/>
    </row>
    <row r="86" ht="15.0" customHeight="1">
      <c r="A86" s="318"/>
      <c r="B86" s="59"/>
      <c r="G86" s="60"/>
      <c r="H86" s="458"/>
      <c r="I86" s="49"/>
      <c r="J86" s="49"/>
      <c r="K86" s="49"/>
      <c r="L86" s="49"/>
      <c r="M86" s="49"/>
      <c r="N86" s="50"/>
      <c r="O86" s="458"/>
      <c r="P86" s="49"/>
      <c r="Q86" s="49"/>
      <c r="R86" s="49"/>
      <c r="S86" s="49"/>
      <c r="T86" s="49"/>
      <c r="U86" s="50"/>
      <c r="V86" s="458"/>
      <c r="W86" s="49"/>
      <c r="X86" s="49"/>
      <c r="Y86" s="49"/>
      <c r="Z86" s="49"/>
      <c r="AA86" s="49"/>
      <c r="AB86" s="50"/>
      <c r="AC86" s="458"/>
      <c r="AD86" s="49"/>
      <c r="AE86" s="49"/>
      <c r="AF86" s="49"/>
      <c r="AG86" s="49"/>
      <c r="AH86" s="49"/>
      <c r="AI86" s="50"/>
      <c r="AJ86" s="458"/>
      <c r="AK86" s="49"/>
      <c r="AL86" s="49"/>
      <c r="AM86" s="49"/>
      <c r="AN86" s="49"/>
      <c r="AO86" s="49"/>
      <c r="AP86" s="50"/>
      <c r="AQ86" s="59"/>
      <c r="AS86" s="60"/>
      <c r="AT86" s="59"/>
      <c r="AY86" s="60"/>
      <c r="AZ86" s="457"/>
      <c r="BA86" s="49"/>
      <c r="BB86" s="49"/>
      <c r="BC86" s="49"/>
      <c r="BD86" s="49"/>
      <c r="BE86" s="49"/>
      <c r="BF86" s="50"/>
      <c r="BG86" s="457"/>
      <c r="BH86" s="49"/>
      <c r="BI86" s="49"/>
      <c r="BJ86" s="49"/>
      <c r="BK86" s="49"/>
      <c r="BL86" s="49"/>
      <c r="BM86" s="50"/>
      <c r="BN86" s="454"/>
      <c r="BO86" s="49"/>
      <c r="BP86" s="49"/>
      <c r="BQ86" s="49"/>
      <c r="BR86" s="49"/>
      <c r="BS86" s="49"/>
      <c r="BT86" s="50"/>
      <c r="BU86" s="454"/>
      <c r="BV86" s="49"/>
      <c r="BW86" s="49"/>
      <c r="BX86" s="49"/>
      <c r="BY86" s="49"/>
      <c r="BZ86" s="49"/>
      <c r="CA86" s="50"/>
      <c r="CB86" s="454"/>
      <c r="CC86" s="49"/>
      <c r="CD86" s="49"/>
      <c r="CE86" s="49"/>
      <c r="CF86" s="49"/>
      <c r="CG86" s="49"/>
      <c r="CH86" s="50"/>
      <c r="CI86" s="454"/>
      <c r="CJ86" s="49"/>
      <c r="CK86" s="49"/>
      <c r="CL86" s="49"/>
      <c r="CM86" s="49"/>
      <c r="CN86" s="49"/>
      <c r="CO86" s="50"/>
      <c r="CP86" s="455"/>
      <c r="CQ86" s="49"/>
      <c r="CR86" s="49"/>
      <c r="CS86" s="49"/>
      <c r="CT86" s="49"/>
      <c r="CU86" s="49"/>
      <c r="CV86" s="50"/>
      <c r="CW86" s="454"/>
      <c r="CX86" s="49"/>
      <c r="CY86" s="49"/>
      <c r="CZ86" s="49"/>
      <c r="DA86" s="49"/>
      <c r="DB86" s="49"/>
      <c r="DC86" s="50"/>
      <c r="DD86" s="455"/>
      <c r="DE86" s="49"/>
      <c r="DF86" s="49"/>
      <c r="DG86" s="49"/>
      <c r="DH86" s="49"/>
      <c r="DI86" s="49"/>
      <c r="DJ86" s="50"/>
      <c r="DK86" s="53"/>
      <c r="DL86" s="43"/>
      <c r="DM86" s="43"/>
      <c r="DN86" s="43"/>
      <c r="DO86" s="43"/>
      <c r="DP86" s="43"/>
      <c r="DQ86" s="43"/>
      <c r="DR86" s="43"/>
      <c r="DS86" s="43"/>
      <c r="DT86" s="43"/>
      <c r="DU86" s="43"/>
      <c r="DV86" s="43"/>
      <c r="DW86" s="43"/>
      <c r="DX86" s="43"/>
      <c r="DY86" s="43"/>
      <c r="DZ86" s="43"/>
      <c r="EA86" s="43"/>
      <c r="EB86" s="43"/>
      <c r="EC86" s="43"/>
      <c r="ED86" s="43"/>
      <c r="EE86" s="43"/>
      <c r="EF86" s="43"/>
      <c r="EG86" s="43"/>
      <c r="EH86" s="43"/>
      <c r="EI86" s="43"/>
      <c r="EJ86" s="43"/>
      <c r="EK86" s="43"/>
      <c r="EL86" s="43"/>
      <c r="EM86" s="43"/>
      <c r="EN86" s="43"/>
      <c r="EO86" s="43"/>
      <c r="EP86" s="43"/>
      <c r="EQ86" s="43"/>
      <c r="ER86" s="43"/>
      <c r="ES86" s="43"/>
      <c r="ET86" s="43"/>
      <c r="EU86" s="43"/>
      <c r="EV86" s="43"/>
      <c r="EW86" s="43"/>
      <c r="EX86" s="43"/>
      <c r="EY86" s="43"/>
      <c r="EZ86" s="43"/>
      <c r="FA86" s="43"/>
      <c r="FB86" s="43"/>
      <c r="FC86" s="43"/>
      <c r="FD86" s="43"/>
      <c r="FE86" s="43"/>
      <c r="FF86" s="43"/>
      <c r="FG86" s="43"/>
      <c r="FH86" s="43"/>
      <c r="FI86" s="43"/>
      <c r="FJ86" s="43"/>
      <c r="FK86" s="43"/>
      <c r="FL86" s="43"/>
      <c r="FM86" s="43"/>
      <c r="FN86" s="43"/>
      <c r="FO86" s="43"/>
      <c r="FP86" s="43"/>
      <c r="FQ86" s="43"/>
      <c r="FR86" s="43"/>
      <c r="FS86" s="43"/>
      <c r="FT86" s="43"/>
      <c r="FU86" s="43"/>
      <c r="FV86" s="43"/>
      <c r="FW86" s="43"/>
      <c r="FX86" s="43"/>
      <c r="FY86" s="43"/>
      <c r="FZ86" s="43"/>
      <c r="GA86" s="43"/>
      <c r="GB86" s="43"/>
      <c r="GC86" s="43"/>
      <c r="GD86" s="43"/>
      <c r="GE86" s="43"/>
      <c r="GF86" s="43"/>
      <c r="GG86" s="43"/>
      <c r="GH86" s="43"/>
      <c r="GI86" s="43"/>
      <c r="GJ86" s="43"/>
      <c r="GK86" s="43"/>
      <c r="GL86" s="43"/>
      <c r="GM86" s="43"/>
      <c r="GN86" s="43"/>
      <c r="GO86" s="43"/>
      <c r="GP86" s="43"/>
      <c r="GQ86" s="43"/>
      <c r="GR86" s="43"/>
      <c r="GS86" s="43"/>
      <c r="GT86" s="43"/>
      <c r="GU86" s="43"/>
      <c r="GV86" s="43"/>
      <c r="GW86" s="43"/>
    </row>
    <row r="87" ht="15.0" customHeight="1">
      <c r="A87" s="318"/>
      <c r="B87" s="59"/>
      <c r="G87" s="60"/>
      <c r="H87" s="70"/>
      <c r="I87" s="57"/>
      <c r="J87" s="57"/>
      <c r="K87" s="57"/>
      <c r="L87" s="57"/>
      <c r="M87" s="57"/>
      <c r="N87" s="58"/>
      <c r="O87" s="70"/>
      <c r="P87" s="57"/>
      <c r="Q87" s="57"/>
      <c r="R87" s="57"/>
      <c r="S87" s="57"/>
      <c r="T87" s="57"/>
      <c r="U87" s="58"/>
      <c r="V87" s="70"/>
      <c r="W87" s="57"/>
      <c r="X87" s="57"/>
      <c r="Y87" s="57"/>
      <c r="Z87" s="57"/>
      <c r="AA87" s="57"/>
      <c r="AB87" s="58"/>
      <c r="AC87" s="70"/>
      <c r="AD87" s="57"/>
      <c r="AE87" s="57"/>
      <c r="AF87" s="57"/>
      <c r="AG87" s="57"/>
      <c r="AH87" s="57"/>
      <c r="AI87" s="58"/>
      <c r="AJ87" s="70"/>
      <c r="AK87" s="57"/>
      <c r="AL87" s="57"/>
      <c r="AM87" s="57"/>
      <c r="AN87" s="57"/>
      <c r="AO87" s="57"/>
      <c r="AP87" s="58"/>
      <c r="AQ87" s="59"/>
      <c r="AS87" s="60"/>
      <c r="AT87" s="59"/>
      <c r="AY87" s="60"/>
      <c r="AZ87" s="70"/>
      <c r="BA87" s="57"/>
      <c r="BB87" s="57"/>
      <c r="BC87" s="57"/>
      <c r="BD87" s="57"/>
      <c r="BE87" s="57"/>
      <c r="BF87" s="58"/>
      <c r="BG87" s="70"/>
      <c r="BH87" s="57"/>
      <c r="BI87" s="57"/>
      <c r="BJ87" s="57"/>
      <c r="BK87" s="57"/>
      <c r="BL87" s="57"/>
      <c r="BM87" s="58"/>
      <c r="BN87" s="70"/>
      <c r="BO87" s="57"/>
      <c r="BP87" s="57"/>
      <c r="BQ87" s="57"/>
      <c r="BR87" s="57"/>
      <c r="BS87" s="57"/>
      <c r="BT87" s="58"/>
      <c r="BU87" s="70"/>
      <c r="BV87" s="57"/>
      <c r="BW87" s="57"/>
      <c r="BX87" s="57"/>
      <c r="BY87" s="57"/>
      <c r="BZ87" s="57"/>
      <c r="CA87" s="58"/>
      <c r="CB87" s="70"/>
      <c r="CC87" s="57"/>
      <c r="CD87" s="57"/>
      <c r="CE87" s="57"/>
      <c r="CF87" s="57"/>
      <c r="CG87" s="57"/>
      <c r="CH87" s="58"/>
      <c r="CI87" s="70"/>
      <c r="CJ87" s="57"/>
      <c r="CK87" s="57"/>
      <c r="CL87" s="57"/>
      <c r="CM87" s="57"/>
      <c r="CN87" s="57"/>
      <c r="CO87" s="58"/>
      <c r="CP87" s="70"/>
      <c r="CQ87" s="57"/>
      <c r="CR87" s="57"/>
      <c r="CS87" s="57"/>
      <c r="CT87" s="57"/>
      <c r="CU87" s="57"/>
      <c r="CV87" s="58"/>
      <c r="CW87" s="70"/>
      <c r="CX87" s="57"/>
      <c r="CY87" s="57"/>
      <c r="CZ87" s="57"/>
      <c r="DA87" s="57"/>
      <c r="DB87" s="57"/>
      <c r="DC87" s="58"/>
      <c r="DD87" s="70"/>
      <c r="DE87" s="57"/>
      <c r="DF87" s="57"/>
      <c r="DG87" s="57"/>
      <c r="DH87" s="57"/>
      <c r="DI87" s="57"/>
      <c r="DJ87" s="58"/>
      <c r="DK87" s="53"/>
      <c r="DL87" s="43"/>
      <c r="DM87" s="43"/>
      <c r="DN87" s="43"/>
      <c r="DO87" s="43"/>
      <c r="DP87" s="43"/>
      <c r="DQ87" s="43"/>
      <c r="DR87" s="43"/>
      <c r="DS87" s="43"/>
      <c r="DT87" s="43"/>
      <c r="DU87" s="43"/>
      <c r="DV87" s="43"/>
      <c r="DW87" s="43"/>
      <c r="DX87" s="43"/>
      <c r="DY87" s="43"/>
      <c r="DZ87" s="43"/>
      <c r="EA87" s="43"/>
      <c r="EB87" s="43"/>
      <c r="EC87" s="43"/>
      <c r="ED87" s="43"/>
      <c r="EE87" s="43"/>
      <c r="EF87" s="43"/>
      <c r="EG87" s="43"/>
      <c r="EH87" s="43"/>
      <c r="EI87" s="43"/>
      <c r="EJ87" s="43"/>
      <c r="EK87" s="43"/>
      <c r="EL87" s="43"/>
      <c r="EM87" s="43"/>
      <c r="EN87" s="43"/>
      <c r="EO87" s="43"/>
      <c r="EP87" s="43"/>
      <c r="EQ87" s="43"/>
      <c r="ER87" s="43"/>
      <c r="ES87" s="43"/>
      <c r="ET87" s="43"/>
      <c r="EU87" s="43"/>
      <c r="EV87" s="43"/>
      <c r="EW87" s="43"/>
      <c r="EX87" s="43"/>
      <c r="EY87" s="43"/>
      <c r="EZ87" s="43"/>
      <c r="FA87" s="43"/>
      <c r="FB87" s="43"/>
      <c r="FC87" s="43"/>
      <c r="FD87" s="43"/>
      <c r="FE87" s="43"/>
      <c r="FF87" s="43"/>
      <c r="FG87" s="43"/>
      <c r="FH87" s="43"/>
      <c r="FI87" s="43"/>
      <c r="FJ87" s="43"/>
      <c r="FK87" s="43"/>
      <c r="FL87" s="43"/>
      <c r="FM87" s="43"/>
      <c r="FN87" s="43"/>
      <c r="FO87" s="43"/>
      <c r="FP87" s="43"/>
      <c r="FQ87" s="43"/>
      <c r="FR87" s="43"/>
      <c r="FS87" s="43"/>
      <c r="FT87" s="43"/>
      <c r="FU87" s="43"/>
      <c r="FV87" s="43"/>
      <c r="FW87" s="43"/>
      <c r="FX87" s="43"/>
      <c r="FY87" s="43"/>
      <c r="FZ87" s="43"/>
      <c r="GA87" s="43"/>
      <c r="GB87" s="43"/>
      <c r="GC87" s="43"/>
      <c r="GD87" s="43"/>
      <c r="GE87" s="43"/>
      <c r="GF87" s="43"/>
      <c r="GG87" s="43"/>
      <c r="GH87" s="43"/>
      <c r="GI87" s="43"/>
      <c r="GJ87" s="43"/>
      <c r="GK87" s="43"/>
      <c r="GL87" s="43"/>
      <c r="GM87" s="43"/>
      <c r="GN87" s="43"/>
      <c r="GO87" s="43"/>
      <c r="GP87" s="43"/>
      <c r="GQ87" s="43"/>
      <c r="GR87" s="43"/>
      <c r="GS87" s="43"/>
      <c r="GT87" s="43"/>
      <c r="GU87" s="43"/>
      <c r="GV87" s="43"/>
      <c r="GW87" s="43"/>
    </row>
    <row r="88" ht="15.0" customHeight="1">
      <c r="A88" s="318"/>
      <c r="B88" s="59"/>
      <c r="G88" s="60"/>
      <c r="H88" s="459"/>
      <c r="I88" s="49"/>
      <c r="J88" s="49"/>
      <c r="K88" s="49"/>
      <c r="L88" s="49"/>
      <c r="M88" s="49"/>
      <c r="N88" s="50"/>
      <c r="O88" s="459"/>
      <c r="P88" s="49"/>
      <c r="Q88" s="49"/>
      <c r="R88" s="49"/>
      <c r="S88" s="49"/>
      <c r="T88" s="49"/>
      <c r="U88" s="50"/>
      <c r="V88" s="459"/>
      <c r="W88" s="49"/>
      <c r="X88" s="49"/>
      <c r="Y88" s="49"/>
      <c r="Z88" s="49"/>
      <c r="AA88" s="49"/>
      <c r="AB88" s="50"/>
      <c r="AC88" s="459"/>
      <c r="AD88" s="49"/>
      <c r="AE88" s="49"/>
      <c r="AF88" s="49"/>
      <c r="AG88" s="49"/>
      <c r="AH88" s="49"/>
      <c r="AI88" s="50"/>
      <c r="AJ88" s="459"/>
      <c r="AK88" s="49"/>
      <c r="AL88" s="49"/>
      <c r="AM88" s="49"/>
      <c r="AN88" s="49"/>
      <c r="AO88" s="49"/>
      <c r="AP88" s="50"/>
      <c r="AQ88" s="59"/>
      <c r="AS88" s="60"/>
      <c r="AT88" s="59"/>
      <c r="AY88" s="60"/>
      <c r="AZ88" s="456"/>
      <c r="BA88" s="49"/>
      <c r="BB88" s="49"/>
      <c r="BC88" s="49"/>
      <c r="BD88" s="49"/>
      <c r="BE88" s="49"/>
      <c r="BF88" s="50"/>
      <c r="BG88" s="456"/>
      <c r="BH88" s="49"/>
      <c r="BI88" s="49"/>
      <c r="BJ88" s="49"/>
      <c r="BK88" s="49"/>
      <c r="BL88" s="49"/>
      <c r="BM88" s="50"/>
      <c r="BN88" s="449"/>
      <c r="BO88" s="49"/>
      <c r="BP88" s="49"/>
      <c r="BQ88" s="49"/>
      <c r="BR88" s="49"/>
      <c r="BS88" s="49"/>
      <c r="BT88" s="50"/>
      <c r="BU88" s="449"/>
      <c r="BV88" s="49"/>
      <c r="BW88" s="49"/>
      <c r="BX88" s="49"/>
      <c r="BY88" s="49"/>
      <c r="BZ88" s="49"/>
      <c r="CA88" s="50"/>
      <c r="CB88" s="449"/>
      <c r="CC88" s="49"/>
      <c r="CD88" s="49"/>
      <c r="CE88" s="49"/>
      <c r="CF88" s="49"/>
      <c r="CG88" s="49"/>
      <c r="CH88" s="50"/>
      <c r="CI88" s="449"/>
      <c r="CJ88" s="49"/>
      <c r="CK88" s="49"/>
      <c r="CL88" s="49"/>
      <c r="CM88" s="49"/>
      <c r="CN88" s="49"/>
      <c r="CO88" s="50"/>
      <c r="CP88" s="450"/>
      <c r="CQ88" s="49"/>
      <c r="CR88" s="49"/>
      <c r="CS88" s="49"/>
      <c r="CT88" s="49"/>
      <c r="CU88" s="49"/>
      <c r="CV88" s="50"/>
      <c r="CW88" s="449"/>
      <c r="CX88" s="49"/>
      <c r="CY88" s="49"/>
      <c r="CZ88" s="49"/>
      <c r="DA88" s="49"/>
      <c r="DB88" s="49"/>
      <c r="DC88" s="50"/>
      <c r="DD88" s="450"/>
      <c r="DE88" s="49"/>
      <c r="DF88" s="49"/>
      <c r="DG88" s="49"/>
      <c r="DH88" s="49"/>
      <c r="DI88" s="49"/>
      <c r="DJ88" s="50"/>
      <c r="DK88" s="53"/>
      <c r="DL88" s="43"/>
      <c r="DM88" s="43"/>
      <c r="DN88" s="43"/>
      <c r="DO88" s="43"/>
      <c r="DP88" s="43"/>
      <c r="DQ88" s="43"/>
      <c r="DR88" s="43"/>
      <c r="DS88" s="43"/>
      <c r="DT88" s="43"/>
      <c r="DU88" s="43"/>
      <c r="DV88" s="43"/>
      <c r="DW88" s="43"/>
      <c r="DX88" s="43"/>
      <c r="DY88" s="43"/>
      <c r="DZ88" s="43"/>
      <c r="EA88" s="43"/>
      <c r="EB88" s="43"/>
      <c r="EC88" s="43"/>
      <c r="ED88" s="43"/>
      <c r="EE88" s="43"/>
      <c r="EF88" s="43"/>
      <c r="EG88" s="43"/>
      <c r="EH88" s="43"/>
      <c r="EI88" s="43"/>
      <c r="EJ88" s="43"/>
      <c r="EK88" s="43"/>
      <c r="EL88" s="43"/>
      <c r="EM88" s="43"/>
      <c r="EN88" s="43"/>
      <c r="EO88" s="43"/>
      <c r="EP88" s="43"/>
      <c r="EQ88" s="43"/>
      <c r="ER88" s="43"/>
      <c r="ES88" s="43"/>
      <c r="ET88" s="43"/>
      <c r="EU88" s="43"/>
      <c r="EV88" s="43"/>
      <c r="EW88" s="43"/>
      <c r="EX88" s="43"/>
      <c r="EY88" s="43"/>
      <c r="EZ88" s="43"/>
      <c r="FA88" s="43"/>
      <c r="FB88" s="43"/>
      <c r="FC88" s="43"/>
      <c r="FD88" s="43"/>
      <c r="FE88" s="43"/>
      <c r="FF88" s="43"/>
      <c r="FG88" s="43"/>
      <c r="FH88" s="43"/>
      <c r="FI88" s="43"/>
      <c r="FJ88" s="43"/>
      <c r="FK88" s="43"/>
      <c r="FL88" s="43"/>
      <c r="FM88" s="43"/>
      <c r="FN88" s="43"/>
      <c r="FO88" s="43"/>
      <c r="FP88" s="43"/>
      <c r="FQ88" s="43"/>
      <c r="FR88" s="43"/>
      <c r="FS88" s="43"/>
      <c r="FT88" s="43"/>
      <c r="FU88" s="43"/>
      <c r="FV88" s="43"/>
      <c r="FW88" s="43"/>
      <c r="FX88" s="43"/>
      <c r="FY88" s="43"/>
      <c r="FZ88" s="43"/>
      <c r="GA88" s="43"/>
      <c r="GB88" s="43"/>
      <c r="GC88" s="43"/>
      <c r="GD88" s="43"/>
      <c r="GE88" s="43"/>
      <c r="GF88" s="43"/>
      <c r="GG88" s="43"/>
      <c r="GH88" s="43"/>
      <c r="GI88" s="43"/>
      <c r="GJ88" s="43"/>
      <c r="GK88" s="43"/>
      <c r="GL88" s="43"/>
      <c r="GM88" s="43"/>
      <c r="GN88" s="43"/>
      <c r="GO88" s="43"/>
      <c r="GP88" s="43"/>
      <c r="GQ88" s="43"/>
      <c r="GR88" s="43"/>
      <c r="GS88" s="43"/>
      <c r="GT88" s="43"/>
      <c r="GU88" s="43"/>
      <c r="GV88" s="43"/>
      <c r="GW88" s="43"/>
    </row>
    <row r="89" ht="15.0" customHeight="1">
      <c r="A89" s="318"/>
      <c r="B89" s="59"/>
      <c r="G89" s="60"/>
      <c r="H89" s="70"/>
      <c r="I89" s="57"/>
      <c r="J89" s="57"/>
      <c r="K89" s="57"/>
      <c r="L89" s="57"/>
      <c r="M89" s="57"/>
      <c r="N89" s="58"/>
      <c r="O89" s="70"/>
      <c r="P89" s="57"/>
      <c r="Q89" s="57"/>
      <c r="R89" s="57"/>
      <c r="S89" s="57"/>
      <c r="T89" s="57"/>
      <c r="U89" s="58"/>
      <c r="V89" s="70"/>
      <c r="W89" s="57"/>
      <c r="X89" s="57"/>
      <c r="Y89" s="57"/>
      <c r="Z89" s="57"/>
      <c r="AA89" s="57"/>
      <c r="AB89" s="58"/>
      <c r="AC89" s="70"/>
      <c r="AD89" s="57"/>
      <c r="AE89" s="57"/>
      <c r="AF89" s="57"/>
      <c r="AG89" s="57"/>
      <c r="AH89" s="57"/>
      <c r="AI89" s="58"/>
      <c r="AJ89" s="70"/>
      <c r="AK89" s="57"/>
      <c r="AL89" s="57"/>
      <c r="AM89" s="57"/>
      <c r="AN89" s="57"/>
      <c r="AO89" s="57"/>
      <c r="AP89" s="58"/>
      <c r="AQ89" s="59"/>
      <c r="AS89" s="60"/>
      <c r="AT89" s="59"/>
      <c r="AY89" s="60"/>
      <c r="AZ89" s="70"/>
      <c r="BA89" s="57"/>
      <c r="BB89" s="57"/>
      <c r="BC89" s="57"/>
      <c r="BD89" s="57"/>
      <c r="BE89" s="57"/>
      <c r="BF89" s="58"/>
      <c r="BG89" s="70"/>
      <c r="BH89" s="57"/>
      <c r="BI89" s="57"/>
      <c r="BJ89" s="57"/>
      <c r="BK89" s="57"/>
      <c r="BL89" s="57"/>
      <c r="BM89" s="58"/>
      <c r="BN89" s="70"/>
      <c r="BO89" s="57"/>
      <c r="BP89" s="57"/>
      <c r="BQ89" s="57"/>
      <c r="BR89" s="57"/>
      <c r="BS89" s="57"/>
      <c r="BT89" s="58"/>
      <c r="BU89" s="70"/>
      <c r="BV89" s="57"/>
      <c r="BW89" s="57"/>
      <c r="BX89" s="57"/>
      <c r="BY89" s="57"/>
      <c r="BZ89" s="57"/>
      <c r="CA89" s="58"/>
      <c r="CB89" s="70"/>
      <c r="CC89" s="57"/>
      <c r="CD89" s="57"/>
      <c r="CE89" s="57"/>
      <c r="CF89" s="57"/>
      <c r="CG89" s="57"/>
      <c r="CH89" s="58"/>
      <c r="CI89" s="70"/>
      <c r="CJ89" s="57"/>
      <c r="CK89" s="57"/>
      <c r="CL89" s="57"/>
      <c r="CM89" s="57"/>
      <c r="CN89" s="57"/>
      <c r="CO89" s="58"/>
      <c r="CP89" s="70"/>
      <c r="CQ89" s="57"/>
      <c r="CR89" s="57"/>
      <c r="CS89" s="57"/>
      <c r="CT89" s="57"/>
      <c r="CU89" s="57"/>
      <c r="CV89" s="58"/>
      <c r="CW89" s="70"/>
      <c r="CX89" s="57"/>
      <c r="CY89" s="57"/>
      <c r="CZ89" s="57"/>
      <c r="DA89" s="57"/>
      <c r="DB89" s="57"/>
      <c r="DC89" s="58"/>
      <c r="DD89" s="70"/>
      <c r="DE89" s="57"/>
      <c r="DF89" s="57"/>
      <c r="DG89" s="57"/>
      <c r="DH89" s="57"/>
      <c r="DI89" s="57"/>
      <c r="DJ89" s="58"/>
      <c r="DK89" s="53"/>
      <c r="DL89" s="43"/>
      <c r="DM89" s="43"/>
      <c r="DN89" s="43"/>
      <c r="DO89" s="43"/>
      <c r="DP89" s="43"/>
      <c r="DQ89" s="43"/>
      <c r="DR89" s="43"/>
      <c r="DS89" s="43"/>
      <c r="DT89" s="43"/>
      <c r="DU89" s="43"/>
      <c r="DV89" s="43"/>
      <c r="DW89" s="43"/>
      <c r="DX89" s="43"/>
      <c r="DY89" s="43"/>
      <c r="DZ89" s="43"/>
      <c r="EA89" s="43"/>
      <c r="EB89" s="43"/>
      <c r="EC89" s="43"/>
      <c r="ED89" s="43"/>
      <c r="EE89" s="43"/>
      <c r="EF89" s="43"/>
      <c r="EG89" s="43"/>
      <c r="EH89" s="43"/>
      <c r="EI89" s="43"/>
      <c r="EJ89" s="43"/>
      <c r="EK89" s="43"/>
      <c r="EL89" s="43"/>
      <c r="EM89" s="43"/>
      <c r="EN89" s="43"/>
      <c r="EO89" s="43"/>
      <c r="EP89" s="43"/>
      <c r="EQ89" s="43"/>
      <c r="ER89" s="43"/>
      <c r="ES89" s="43"/>
      <c r="ET89" s="43"/>
      <c r="EU89" s="43"/>
      <c r="EV89" s="43"/>
      <c r="EW89" s="43"/>
      <c r="EX89" s="43"/>
      <c r="EY89" s="43"/>
      <c r="EZ89" s="43"/>
      <c r="FA89" s="43"/>
      <c r="FB89" s="43"/>
      <c r="FC89" s="43"/>
      <c r="FD89" s="43"/>
      <c r="FE89" s="43"/>
      <c r="FF89" s="43"/>
      <c r="FG89" s="43"/>
      <c r="FH89" s="43"/>
      <c r="FI89" s="43"/>
      <c r="FJ89" s="43"/>
      <c r="FK89" s="43"/>
      <c r="FL89" s="43"/>
      <c r="FM89" s="43"/>
      <c r="FN89" s="43"/>
      <c r="FO89" s="43"/>
      <c r="FP89" s="43"/>
      <c r="FQ89" s="43"/>
      <c r="FR89" s="43"/>
      <c r="FS89" s="43"/>
      <c r="FT89" s="43"/>
      <c r="FU89" s="43"/>
      <c r="FV89" s="43"/>
      <c r="FW89" s="43"/>
      <c r="FX89" s="43"/>
      <c r="FY89" s="43"/>
      <c r="FZ89" s="43"/>
      <c r="GA89" s="43"/>
      <c r="GB89" s="43"/>
      <c r="GC89" s="43"/>
      <c r="GD89" s="43"/>
      <c r="GE89" s="43"/>
      <c r="GF89" s="43"/>
      <c r="GG89" s="43"/>
      <c r="GH89" s="43"/>
      <c r="GI89" s="43"/>
      <c r="GJ89" s="43"/>
      <c r="GK89" s="43"/>
      <c r="GL89" s="43"/>
      <c r="GM89" s="43"/>
      <c r="GN89" s="43"/>
      <c r="GO89" s="43"/>
      <c r="GP89" s="43"/>
      <c r="GQ89" s="43"/>
      <c r="GR89" s="43"/>
      <c r="GS89" s="43"/>
      <c r="GT89" s="43"/>
      <c r="GU89" s="43"/>
      <c r="GV89" s="43"/>
      <c r="GW89" s="43"/>
    </row>
    <row r="90" ht="15.0" customHeight="1">
      <c r="A90" s="318"/>
      <c r="B90" s="59"/>
      <c r="G90" s="60"/>
      <c r="H90" s="458"/>
      <c r="I90" s="49"/>
      <c r="J90" s="49"/>
      <c r="K90" s="49"/>
      <c r="L90" s="49"/>
      <c r="M90" s="49"/>
      <c r="N90" s="50"/>
      <c r="O90" s="458"/>
      <c r="P90" s="49"/>
      <c r="Q90" s="49"/>
      <c r="R90" s="49"/>
      <c r="S90" s="49"/>
      <c r="T90" s="49"/>
      <c r="U90" s="50"/>
      <c r="V90" s="458"/>
      <c r="W90" s="49"/>
      <c r="X90" s="49"/>
      <c r="Y90" s="49"/>
      <c r="Z90" s="49"/>
      <c r="AA90" s="49"/>
      <c r="AB90" s="50"/>
      <c r="AC90" s="458"/>
      <c r="AD90" s="49"/>
      <c r="AE90" s="49"/>
      <c r="AF90" s="49"/>
      <c r="AG90" s="49"/>
      <c r="AH90" s="49"/>
      <c r="AI90" s="50"/>
      <c r="AJ90" s="458"/>
      <c r="AK90" s="49"/>
      <c r="AL90" s="49"/>
      <c r="AM90" s="49"/>
      <c r="AN90" s="49"/>
      <c r="AO90" s="49"/>
      <c r="AP90" s="50"/>
      <c r="AQ90" s="59"/>
      <c r="AS90" s="60"/>
      <c r="AT90" s="59"/>
      <c r="AY90" s="60"/>
      <c r="AZ90" s="457"/>
      <c r="BA90" s="49"/>
      <c r="BB90" s="49"/>
      <c r="BC90" s="49"/>
      <c r="BD90" s="49"/>
      <c r="BE90" s="49"/>
      <c r="BF90" s="50"/>
      <c r="BG90" s="457"/>
      <c r="BH90" s="49"/>
      <c r="BI90" s="49"/>
      <c r="BJ90" s="49"/>
      <c r="BK90" s="49"/>
      <c r="BL90" s="49"/>
      <c r="BM90" s="50"/>
      <c r="BN90" s="454"/>
      <c r="BO90" s="49"/>
      <c r="BP90" s="49"/>
      <c r="BQ90" s="49"/>
      <c r="BR90" s="49"/>
      <c r="BS90" s="49"/>
      <c r="BT90" s="50"/>
      <c r="BU90" s="454"/>
      <c r="BV90" s="49"/>
      <c r="BW90" s="49"/>
      <c r="BX90" s="49"/>
      <c r="BY90" s="49"/>
      <c r="BZ90" s="49"/>
      <c r="CA90" s="50"/>
      <c r="CB90" s="454"/>
      <c r="CC90" s="49"/>
      <c r="CD90" s="49"/>
      <c r="CE90" s="49"/>
      <c r="CF90" s="49"/>
      <c r="CG90" s="49"/>
      <c r="CH90" s="50"/>
      <c r="CI90" s="454"/>
      <c r="CJ90" s="49"/>
      <c r="CK90" s="49"/>
      <c r="CL90" s="49"/>
      <c r="CM90" s="49"/>
      <c r="CN90" s="49"/>
      <c r="CO90" s="50"/>
      <c r="CP90" s="455"/>
      <c r="CQ90" s="49"/>
      <c r="CR90" s="49"/>
      <c r="CS90" s="49"/>
      <c r="CT90" s="49"/>
      <c r="CU90" s="49"/>
      <c r="CV90" s="50"/>
      <c r="CW90" s="454"/>
      <c r="CX90" s="49"/>
      <c r="CY90" s="49"/>
      <c r="CZ90" s="49"/>
      <c r="DA90" s="49"/>
      <c r="DB90" s="49"/>
      <c r="DC90" s="50"/>
      <c r="DD90" s="455"/>
      <c r="DE90" s="49"/>
      <c r="DF90" s="49"/>
      <c r="DG90" s="49"/>
      <c r="DH90" s="49"/>
      <c r="DI90" s="49"/>
      <c r="DJ90" s="50"/>
      <c r="DK90" s="53"/>
      <c r="DL90" s="43"/>
      <c r="DM90" s="43"/>
      <c r="DN90" s="43"/>
      <c r="DO90" s="43"/>
      <c r="DP90" s="43"/>
      <c r="DQ90" s="43"/>
      <c r="DR90" s="43"/>
      <c r="DS90" s="43"/>
      <c r="DT90" s="43"/>
      <c r="DU90" s="43"/>
      <c r="DV90" s="43"/>
      <c r="DW90" s="43"/>
      <c r="DX90" s="43"/>
      <c r="DY90" s="43"/>
      <c r="DZ90" s="43"/>
      <c r="EA90" s="43"/>
      <c r="EB90" s="43"/>
      <c r="EC90" s="43"/>
      <c r="ED90" s="43"/>
      <c r="EE90" s="43"/>
      <c r="EF90" s="43"/>
      <c r="EG90" s="43"/>
      <c r="EH90" s="43"/>
      <c r="EI90" s="43"/>
      <c r="EJ90" s="43"/>
      <c r="EK90" s="43"/>
      <c r="EL90" s="43"/>
      <c r="EM90" s="43"/>
      <c r="EN90" s="43"/>
      <c r="EO90" s="43"/>
      <c r="EP90" s="43"/>
      <c r="EQ90" s="43"/>
      <c r="ER90" s="43"/>
      <c r="ES90" s="43"/>
      <c r="ET90" s="43"/>
      <c r="EU90" s="43"/>
      <c r="EV90" s="43"/>
      <c r="EW90" s="43"/>
      <c r="EX90" s="43"/>
      <c r="EY90" s="43"/>
      <c r="EZ90" s="43"/>
      <c r="FA90" s="43"/>
      <c r="FB90" s="43"/>
      <c r="FC90" s="43"/>
      <c r="FD90" s="43"/>
      <c r="FE90" s="43"/>
      <c r="FF90" s="43"/>
      <c r="FG90" s="43"/>
      <c r="FH90" s="43"/>
      <c r="FI90" s="43"/>
      <c r="FJ90" s="43"/>
      <c r="FK90" s="43"/>
      <c r="FL90" s="43"/>
      <c r="FM90" s="43"/>
      <c r="FN90" s="43"/>
      <c r="FO90" s="43"/>
      <c r="FP90" s="43"/>
      <c r="FQ90" s="43"/>
      <c r="FR90" s="43"/>
      <c r="FS90" s="43"/>
      <c r="FT90" s="43"/>
      <c r="FU90" s="43"/>
      <c r="FV90" s="43"/>
      <c r="FW90" s="43"/>
      <c r="FX90" s="43"/>
      <c r="FY90" s="43"/>
      <c r="FZ90" s="43"/>
      <c r="GA90" s="43"/>
      <c r="GB90" s="43"/>
      <c r="GC90" s="43"/>
      <c r="GD90" s="43"/>
      <c r="GE90" s="43"/>
      <c r="GF90" s="43"/>
      <c r="GG90" s="43"/>
      <c r="GH90" s="43"/>
      <c r="GI90" s="43"/>
      <c r="GJ90" s="43"/>
      <c r="GK90" s="43"/>
      <c r="GL90" s="43"/>
      <c r="GM90" s="43"/>
      <c r="GN90" s="43"/>
      <c r="GO90" s="43"/>
      <c r="GP90" s="43"/>
      <c r="GQ90" s="43"/>
      <c r="GR90" s="43"/>
      <c r="GS90" s="43"/>
      <c r="GT90" s="43"/>
      <c r="GU90" s="43"/>
      <c r="GV90" s="43"/>
      <c r="GW90" s="43"/>
    </row>
    <row r="91" ht="15.0" customHeight="1">
      <c r="A91" s="318"/>
      <c r="B91" s="59"/>
      <c r="G91" s="60"/>
      <c r="H91" s="70"/>
      <c r="I91" s="57"/>
      <c r="J91" s="57"/>
      <c r="K91" s="57"/>
      <c r="L91" s="57"/>
      <c r="M91" s="57"/>
      <c r="N91" s="58"/>
      <c r="O91" s="70"/>
      <c r="P91" s="57"/>
      <c r="Q91" s="57"/>
      <c r="R91" s="57"/>
      <c r="S91" s="57"/>
      <c r="T91" s="57"/>
      <c r="U91" s="58"/>
      <c r="V91" s="70"/>
      <c r="W91" s="57"/>
      <c r="X91" s="57"/>
      <c r="Y91" s="57"/>
      <c r="Z91" s="57"/>
      <c r="AA91" s="57"/>
      <c r="AB91" s="58"/>
      <c r="AC91" s="70"/>
      <c r="AD91" s="57"/>
      <c r="AE91" s="57"/>
      <c r="AF91" s="57"/>
      <c r="AG91" s="57"/>
      <c r="AH91" s="57"/>
      <c r="AI91" s="58"/>
      <c r="AJ91" s="70"/>
      <c r="AK91" s="57"/>
      <c r="AL91" s="57"/>
      <c r="AM91" s="57"/>
      <c r="AN91" s="57"/>
      <c r="AO91" s="57"/>
      <c r="AP91" s="58"/>
      <c r="AQ91" s="59"/>
      <c r="AS91" s="60"/>
      <c r="AT91" s="59"/>
      <c r="AY91" s="60"/>
      <c r="AZ91" s="70"/>
      <c r="BA91" s="57"/>
      <c r="BB91" s="57"/>
      <c r="BC91" s="57"/>
      <c r="BD91" s="57"/>
      <c r="BE91" s="57"/>
      <c r="BF91" s="58"/>
      <c r="BG91" s="70"/>
      <c r="BH91" s="57"/>
      <c r="BI91" s="57"/>
      <c r="BJ91" s="57"/>
      <c r="BK91" s="57"/>
      <c r="BL91" s="57"/>
      <c r="BM91" s="58"/>
      <c r="BN91" s="70"/>
      <c r="BO91" s="57"/>
      <c r="BP91" s="57"/>
      <c r="BQ91" s="57"/>
      <c r="BR91" s="57"/>
      <c r="BS91" s="57"/>
      <c r="BT91" s="58"/>
      <c r="BU91" s="70"/>
      <c r="BV91" s="57"/>
      <c r="BW91" s="57"/>
      <c r="BX91" s="57"/>
      <c r="BY91" s="57"/>
      <c r="BZ91" s="57"/>
      <c r="CA91" s="58"/>
      <c r="CB91" s="70"/>
      <c r="CC91" s="57"/>
      <c r="CD91" s="57"/>
      <c r="CE91" s="57"/>
      <c r="CF91" s="57"/>
      <c r="CG91" s="57"/>
      <c r="CH91" s="58"/>
      <c r="CI91" s="70"/>
      <c r="CJ91" s="57"/>
      <c r="CK91" s="57"/>
      <c r="CL91" s="57"/>
      <c r="CM91" s="57"/>
      <c r="CN91" s="57"/>
      <c r="CO91" s="58"/>
      <c r="CP91" s="70"/>
      <c r="CQ91" s="57"/>
      <c r="CR91" s="57"/>
      <c r="CS91" s="57"/>
      <c r="CT91" s="57"/>
      <c r="CU91" s="57"/>
      <c r="CV91" s="58"/>
      <c r="CW91" s="70"/>
      <c r="CX91" s="57"/>
      <c r="CY91" s="57"/>
      <c r="CZ91" s="57"/>
      <c r="DA91" s="57"/>
      <c r="DB91" s="57"/>
      <c r="DC91" s="58"/>
      <c r="DD91" s="70"/>
      <c r="DE91" s="57"/>
      <c r="DF91" s="57"/>
      <c r="DG91" s="57"/>
      <c r="DH91" s="57"/>
      <c r="DI91" s="57"/>
      <c r="DJ91" s="58"/>
      <c r="DK91" s="53"/>
      <c r="DL91" s="43"/>
      <c r="DM91" s="43"/>
      <c r="DN91" s="43"/>
      <c r="DO91" s="43"/>
      <c r="DP91" s="43"/>
      <c r="DQ91" s="43"/>
      <c r="DR91" s="43"/>
      <c r="DS91" s="43"/>
      <c r="DT91" s="43"/>
      <c r="DU91" s="43"/>
      <c r="DV91" s="43"/>
      <c r="DW91" s="43"/>
      <c r="DX91" s="43"/>
      <c r="DY91" s="43"/>
      <c r="DZ91" s="43"/>
      <c r="EA91" s="43"/>
      <c r="EB91" s="43"/>
      <c r="EC91" s="43"/>
      <c r="ED91" s="43"/>
      <c r="EE91" s="43"/>
      <c r="EF91" s="43"/>
      <c r="EG91" s="43"/>
      <c r="EH91" s="43"/>
      <c r="EI91" s="43"/>
      <c r="EJ91" s="43"/>
      <c r="EK91" s="43"/>
      <c r="EL91" s="43"/>
      <c r="EM91" s="43"/>
      <c r="EN91" s="43"/>
      <c r="EO91" s="43"/>
      <c r="EP91" s="43"/>
      <c r="EQ91" s="43"/>
      <c r="ER91" s="43"/>
      <c r="ES91" s="43"/>
      <c r="ET91" s="43"/>
      <c r="EU91" s="43"/>
      <c r="EV91" s="43"/>
      <c r="EW91" s="43"/>
      <c r="EX91" s="43"/>
      <c r="EY91" s="43"/>
      <c r="EZ91" s="43"/>
      <c r="FA91" s="43"/>
      <c r="FB91" s="43"/>
      <c r="FC91" s="43"/>
      <c r="FD91" s="43"/>
      <c r="FE91" s="43"/>
      <c r="FF91" s="43"/>
      <c r="FG91" s="43"/>
      <c r="FH91" s="43"/>
      <c r="FI91" s="43"/>
      <c r="FJ91" s="43"/>
      <c r="FK91" s="43"/>
      <c r="FL91" s="43"/>
      <c r="FM91" s="43"/>
      <c r="FN91" s="43"/>
      <c r="FO91" s="43"/>
      <c r="FP91" s="43"/>
      <c r="FQ91" s="43"/>
      <c r="FR91" s="43"/>
      <c r="FS91" s="43"/>
      <c r="FT91" s="43"/>
      <c r="FU91" s="43"/>
      <c r="FV91" s="43"/>
      <c r="FW91" s="43"/>
      <c r="FX91" s="43"/>
      <c r="FY91" s="43"/>
      <c r="FZ91" s="43"/>
      <c r="GA91" s="43"/>
      <c r="GB91" s="43"/>
      <c r="GC91" s="43"/>
      <c r="GD91" s="43"/>
      <c r="GE91" s="43"/>
      <c r="GF91" s="43"/>
      <c r="GG91" s="43"/>
      <c r="GH91" s="43"/>
      <c r="GI91" s="43"/>
      <c r="GJ91" s="43"/>
      <c r="GK91" s="43"/>
      <c r="GL91" s="43"/>
      <c r="GM91" s="43"/>
      <c r="GN91" s="43"/>
      <c r="GO91" s="43"/>
      <c r="GP91" s="43"/>
      <c r="GQ91" s="43"/>
      <c r="GR91" s="43"/>
      <c r="GS91" s="43"/>
      <c r="GT91" s="43"/>
      <c r="GU91" s="43"/>
      <c r="GV91" s="43"/>
      <c r="GW91" s="43"/>
    </row>
    <row r="92" ht="15.0" customHeight="1">
      <c r="A92" s="318"/>
      <c r="B92" s="59"/>
      <c r="G92" s="60"/>
      <c r="H92" s="459"/>
      <c r="I92" s="49"/>
      <c r="J92" s="49"/>
      <c r="K92" s="49"/>
      <c r="L92" s="49"/>
      <c r="M92" s="49"/>
      <c r="N92" s="50"/>
      <c r="O92" s="459"/>
      <c r="P92" s="49"/>
      <c r="Q92" s="49"/>
      <c r="R92" s="49"/>
      <c r="S92" s="49"/>
      <c r="T92" s="49"/>
      <c r="U92" s="50"/>
      <c r="V92" s="459"/>
      <c r="W92" s="49"/>
      <c r="X92" s="49"/>
      <c r="Y92" s="49"/>
      <c r="Z92" s="49"/>
      <c r="AA92" s="49"/>
      <c r="AB92" s="50"/>
      <c r="AC92" s="459"/>
      <c r="AD92" s="49"/>
      <c r="AE92" s="49"/>
      <c r="AF92" s="49"/>
      <c r="AG92" s="49"/>
      <c r="AH92" s="49"/>
      <c r="AI92" s="50"/>
      <c r="AJ92" s="459"/>
      <c r="AK92" s="49"/>
      <c r="AL92" s="49"/>
      <c r="AM92" s="49"/>
      <c r="AN92" s="49"/>
      <c r="AO92" s="49"/>
      <c r="AP92" s="50"/>
      <c r="AQ92" s="59"/>
      <c r="AS92" s="60"/>
      <c r="AT92" s="59"/>
      <c r="AY92" s="60"/>
      <c r="AZ92" s="456"/>
      <c r="BA92" s="49"/>
      <c r="BB92" s="49"/>
      <c r="BC92" s="49"/>
      <c r="BD92" s="49"/>
      <c r="BE92" s="49"/>
      <c r="BF92" s="50"/>
      <c r="BG92" s="456"/>
      <c r="BH92" s="49"/>
      <c r="BI92" s="49"/>
      <c r="BJ92" s="49"/>
      <c r="BK92" s="49"/>
      <c r="BL92" s="49"/>
      <c r="BM92" s="50"/>
      <c r="BN92" s="449"/>
      <c r="BO92" s="49"/>
      <c r="BP92" s="49"/>
      <c r="BQ92" s="49"/>
      <c r="BR92" s="49"/>
      <c r="BS92" s="49"/>
      <c r="BT92" s="50"/>
      <c r="BU92" s="449"/>
      <c r="BV92" s="49"/>
      <c r="BW92" s="49"/>
      <c r="BX92" s="49"/>
      <c r="BY92" s="49"/>
      <c r="BZ92" s="49"/>
      <c r="CA92" s="50"/>
      <c r="CB92" s="449"/>
      <c r="CC92" s="49"/>
      <c r="CD92" s="49"/>
      <c r="CE92" s="49"/>
      <c r="CF92" s="49"/>
      <c r="CG92" s="49"/>
      <c r="CH92" s="50"/>
      <c r="CI92" s="449"/>
      <c r="CJ92" s="49"/>
      <c r="CK92" s="49"/>
      <c r="CL92" s="49"/>
      <c r="CM92" s="49"/>
      <c r="CN92" s="49"/>
      <c r="CO92" s="50"/>
      <c r="CP92" s="450"/>
      <c r="CQ92" s="49"/>
      <c r="CR92" s="49"/>
      <c r="CS92" s="49"/>
      <c r="CT92" s="49"/>
      <c r="CU92" s="49"/>
      <c r="CV92" s="50"/>
      <c r="CW92" s="449"/>
      <c r="CX92" s="49"/>
      <c r="CY92" s="49"/>
      <c r="CZ92" s="49"/>
      <c r="DA92" s="49"/>
      <c r="DB92" s="49"/>
      <c r="DC92" s="50"/>
      <c r="DD92" s="450"/>
      <c r="DE92" s="49"/>
      <c r="DF92" s="49"/>
      <c r="DG92" s="49"/>
      <c r="DH92" s="49"/>
      <c r="DI92" s="49"/>
      <c r="DJ92" s="50"/>
      <c r="DK92" s="53"/>
      <c r="DL92" s="43"/>
      <c r="DM92" s="43"/>
      <c r="DN92" s="43"/>
      <c r="DO92" s="43"/>
      <c r="DP92" s="43"/>
      <c r="DQ92" s="43"/>
      <c r="DR92" s="43"/>
      <c r="DS92" s="43"/>
      <c r="DT92" s="43"/>
      <c r="DU92" s="43"/>
      <c r="DV92" s="43"/>
      <c r="DW92" s="43"/>
      <c r="DX92" s="43"/>
      <c r="DY92" s="43"/>
      <c r="DZ92" s="43"/>
      <c r="EA92" s="43"/>
      <c r="EB92" s="43"/>
      <c r="EC92" s="43"/>
      <c r="ED92" s="43"/>
      <c r="EE92" s="43"/>
      <c r="EF92" s="43"/>
      <c r="EG92" s="43"/>
      <c r="EH92" s="43"/>
      <c r="EI92" s="43"/>
      <c r="EJ92" s="43"/>
      <c r="EK92" s="43"/>
      <c r="EL92" s="43"/>
      <c r="EM92" s="43"/>
      <c r="EN92" s="43"/>
      <c r="EO92" s="43"/>
      <c r="EP92" s="43"/>
      <c r="EQ92" s="43"/>
      <c r="ER92" s="43"/>
      <c r="ES92" s="43"/>
      <c r="ET92" s="43"/>
      <c r="EU92" s="43"/>
      <c r="EV92" s="43"/>
      <c r="EW92" s="43"/>
      <c r="EX92" s="43"/>
      <c r="EY92" s="43"/>
      <c r="EZ92" s="43"/>
      <c r="FA92" s="43"/>
      <c r="FB92" s="43"/>
      <c r="FC92" s="43"/>
      <c r="FD92" s="43"/>
      <c r="FE92" s="43"/>
      <c r="FF92" s="43"/>
      <c r="FG92" s="43"/>
      <c r="FH92" s="43"/>
      <c r="FI92" s="43"/>
      <c r="FJ92" s="43"/>
      <c r="FK92" s="43"/>
      <c r="FL92" s="43"/>
      <c r="FM92" s="43"/>
      <c r="FN92" s="43"/>
      <c r="FO92" s="43"/>
      <c r="FP92" s="43"/>
      <c r="FQ92" s="43"/>
      <c r="FR92" s="43"/>
      <c r="FS92" s="43"/>
      <c r="FT92" s="43"/>
      <c r="FU92" s="43"/>
      <c r="FV92" s="43"/>
      <c r="FW92" s="43"/>
      <c r="FX92" s="43"/>
      <c r="FY92" s="43"/>
      <c r="FZ92" s="43"/>
      <c r="GA92" s="43"/>
      <c r="GB92" s="43"/>
      <c r="GC92" s="43"/>
      <c r="GD92" s="43"/>
      <c r="GE92" s="43"/>
      <c r="GF92" s="43"/>
      <c r="GG92" s="43"/>
      <c r="GH92" s="43"/>
      <c r="GI92" s="43"/>
      <c r="GJ92" s="43"/>
      <c r="GK92" s="43"/>
      <c r="GL92" s="43"/>
      <c r="GM92" s="43"/>
      <c r="GN92" s="43"/>
      <c r="GO92" s="43"/>
      <c r="GP92" s="43"/>
      <c r="GQ92" s="43"/>
      <c r="GR92" s="43"/>
      <c r="GS92" s="43"/>
      <c r="GT92" s="43"/>
      <c r="GU92" s="43"/>
      <c r="GV92" s="43"/>
      <c r="GW92" s="43"/>
    </row>
    <row r="93" ht="15.0" customHeight="1">
      <c r="A93" s="318"/>
      <c r="B93" s="59"/>
      <c r="G93" s="60"/>
      <c r="H93" s="70"/>
      <c r="I93" s="57"/>
      <c r="J93" s="57"/>
      <c r="K93" s="57"/>
      <c r="L93" s="57"/>
      <c r="M93" s="57"/>
      <c r="N93" s="58"/>
      <c r="O93" s="70"/>
      <c r="P93" s="57"/>
      <c r="Q93" s="57"/>
      <c r="R93" s="57"/>
      <c r="S93" s="57"/>
      <c r="T93" s="57"/>
      <c r="U93" s="58"/>
      <c r="V93" s="70"/>
      <c r="W93" s="57"/>
      <c r="X93" s="57"/>
      <c r="Y93" s="57"/>
      <c r="Z93" s="57"/>
      <c r="AA93" s="57"/>
      <c r="AB93" s="58"/>
      <c r="AC93" s="70"/>
      <c r="AD93" s="57"/>
      <c r="AE93" s="57"/>
      <c r="AF93" s="57"/>
      <c r="AG93" s="57"/>
      <c r="AH93" s="57"/>
      <c r="AI93" s="58"/>
      <c r="AJ93" s="70"/>
      <c r="AK93" s="57"/>
      <c r="AL93" s="57"/>
      <c r="AM93" s="57"/>
      <c r="AN93" s="57"/>
      <c r="AO93" s="57"/>
      <c r="AP93" s="58"/>
      <c r="AQ93" s="59"/>
      <c r="AS93" s="60"/>
      <c r="AT93" s="59"/>
      <c r="AY93" s="60"/>
      <c r="AZ93" s="70"/>
      <c r="BA93" s="57"/>
      <c r="BB93" s="57"/>
      <c r="BC93" s="57"/>
      <c r="BD93" s="57"/>
      <c r="BE93" s="57"/>
      <c r="BF93" s="58"/>
      <c r="BG93" s="70"/>
      <c r="BH93" s="57"/>
      <c r="BI93" s="57"/>
      <c r="BJ93" s="57"/>
      <c r="BK93" s="57"/>
      <c r="BL93" s="57"/>
      <c r="BM93" s="58"/>
      <c r="BN93" s="70"/>
      <c r="BO93" s="57"/>
      <c r="BP93" s="57"/>
      <c r="BQ93" s="57"/>
      <c r="BR93" s="57"/>
      <c r="BS93" s="57"/>
      <c r="BT93" s="58"/>
      <c r="BU93" s="70"/>
      <c r="BV93" s="57"/>
      <c r="BW93" s="57"/>
      <c r="BX93" s="57"/>
      <c r="BY93" s="57"/>
      <c r="BZ93" s="57"/>
      <c r="CA93" s="58"/>
      <c r="CB93" s="70"/>
      <c r="CC93" s="57"/>
      <c r="CD93" s="57"/>
      <c r="CE93" s="57"/>
      <c r="CF93" s="57"/>
      <c r="CG93" s="57"/>
      <c r="CH93" s="58"/>
      <c r="CI93" s="70"/>
      <c r="CJ93" s="57"/>
      <c r="CK93" s="57"/>
      <c r="CL93" s="57"/>
      <c r="CM93" s="57"/>
      <c r="CN93" s="57"/>
      <c r="CO93" s="58"/>
      <c r="CP93" s="70"/>
      <c r="CQ93" s="57"/>
      <c r="CR93" s="57"/>
      <c r="CS93" s="57"/>
      <c r="CT93" s="57"/>
      <c r="CU93" s="57"/>
      <c r="CV93" s="58"/>
      <c r="CW93" s="70"/>
      <c r="CX93" s="57"/>
      <c r="CY93" s="57"/>
      <c r="CZ93" s="57"/>
      <c r="DA93" s="57"/>
      <c r="DB93" s="57"/>
      <c r="DC93" s="58"/>
      <c r="DD93" s="70"/>
      <c r="DE93" s="57"/>
      <c r="DF93" s="57"/>
      <c r="DG93" s="57"/>
      <c r="DH93" s="57"/>
      <c r="DI93" s="57"/>
      <c r="DJ93" s="58"/>
      <c r="DK93" s="53"/>
      <c r="DL93" s="43"/>
      <c r="DM93" s="43"/>
      <c r="DN93" s="43"/>
      <c r="DO93" s="43"/>
      <c r="DP93" s="43"/>
      <c r="DQ93" s="43"/>
      <c r="DR93" s="43"/>
      <c r="DS93" s="43"/>
      <c r="DT93" s="43"/>
      <c r="DU93" s="43"/>
      <c r="DV93" s="43"/>
      <c r="DW93" s="43"/>
      <c r="DX93" s="43"/>
      <c r="DY93" s="43"/>
      <c r="DZ93" s="43"/>
      <c r="EA93" s="43"/>
      <c r="EB93" s="43"/>
      <c r="EC93" s="43"/>
      <c r="ED93" s="43"/>
      <c r="EE93" s="43"/>
      <c r="EF93" s="43"/>
      <c r="EG93" s="43"/>
      <c r="EH93" s="43"/>
      <c r="EI93" s="43"/>
      <c r="EJ93" s="43"/>
      <c r="EK93" s="43"/>
      <c r="EL93" s="43"/>
      <c r="EM93" s="43"/>
      <c r="EN93" s="43"/>
      <c r="EO93" s="43"/>
      <c r="EP93" s="43"/>
      <c r="EQ93" s="43"/>
      <c r="ER93" s="43"/>
      <c r="ES93" s="43"/>
      <c r="ET93" s="43"/>
      <c r="EU93" s="43"/>
      <c r="EV93" s="43"/>
      <c r="EW93" s="43"/>
      <c r="EX93" s="43"/>
      <c r="EY93" s="43"/>
      <c r="EZ93" s="43"/>
      <c r="FA93" s="43"/>
      <c r="FB93" s="43"/>
      <c r="FC93" s="43"/>
      <c r="FD93" s="43"/>
      <c r="FE93" s="43"/>
      <c r="FF93" s="43"/>
      <c r="FG93" s="43"/>
      <c r="FH93" s="43"/>
      <c r="FI93" s="43"/>
      <c r="FJ93" s="43"/>
      <c r="FK93" s="43"/>
      <c r="FL93" s="43"/>
      <c r="FM93" s="43"/>
      <c r="FN93" s="43"/>
      <c r="FO93" s="43"/>
      <c r="FP93" s="43"/>
      <c r="FQ93" s="43"/>
      <c r="FR93" s="43"/>
      <c r="FS93" s="43"/>
      <c r="FT93" s="43"/>
      <c r="FU93" s="43"/>
      <c r="FV93" s="43"/>
      <c r="FW93" s="43"/>
      <c r="FX93" s="43"/>
      <c r="FY93" s="43"/>
      <c r="FZ93" s="43"/>
      <c r="GA93" s="43"/>
      <c r="GB93" s="43"/>
      <c r="GC93" s="43"/>
      <c r="GD93" s="43"/>
      <c r="GE93" s="43"/>
      <c r="GF93" s="43"/>
      <c r="GG93" s="43"/>
      <c r="GH93" s="43"/>
      <c r="GI93" s="43"/>
      <c r="GJ93" s="43"/>
      <c r="GK93" s="43"/>
      <c r="GL93" s="43"/>
      <c r="GM93" s="43"/>
      <c r="GN93" s="43"/>
      <c r="GO93" s="43"/>
      <c r="GP93" s="43"/>
      <c r="GQ93" s="43"/>
      <c r="GR93" s="43"/>
      <c r="GS93" s="43"/>
      <c r="GT93" s="43"/>
      <c r="GU93" s="43"/>
      <c r="GV93" s="43"/>
      <c r="GW93" s="43"/>
    </row>
    <row r="94" ht="15.0" customHeight="1">
      <c r="A94" s="318"/>
      <c r="B94" s="59"/>
      <c r="G94" s="60"/>
      <c r="H94" s="458"/>
      <c r="I94" s="49"/>
      <c r="J94" s="49"/>
      <c r="K94" s="49"/>
      <c r="L94" s="49"/>
      <c r="M94" s="49"/>
      <c r="N94" s="50"/>
      <c r="O94" s="458"/>
      <c r="P94" s="49"/>
      <c r="Q94" s="49"/>
      <c r="R94" s="49"/>
      <c r="S94" s="49"/>
      <c r="T94" s="49"/>
      <c r="U94" s="50"/>
      <c r="V94" s="458"/>
      <c r="W94" s="49"/>
      <c r="X94" s="49"/>
      <c r="Y94" s="49"/>
      <c r="Z94" s="49"/>
      <c r="AA94" s="49"/>
      <c r="AB94" s="50"/>
      <c r="AC94" s="458"/>
      <c r="AD94" s="49"/>
      <c r="AE94" s="49"/>
      <c r="AF94" s="49"/>
      <c r="AG94" s="49"/>
      <c r="AH94" s="49"/>
      <c r="AI94" s="50"/>
      <c r="AJ94" s="458"/>
      <c r="AK94" s="49"/>
      <c r="AL94" s="49"/>
      <c r="AM94" s="49"/>
      <c r="AN94" s="49"/>
      <c r="AO94" s="49"/>
      <c r="AP94" s="50"/>
      <c r="AQ94" s="59"/>
      <c r="AS94" s="60"/>
      <c r="AT94" s="59"/>
      <c r="AY94" s="60"/>
      <c r="AZ94" s="457"/>
      <c r="BA94" s="49"/>
      <c r="BB94" s="49"/>
      <c r="BC94" s="49"/>
      <c r="BD94" s="49"/>
      <c r="BE94" s="49"/>
      <c r="BF94" s="50"/>
      <c r="BG94" s="457"/>
      <c r="BH94" s="49"/>
      <c r="BI94" s="49"/>
      <c r="BJ94" s="49"/>
      <c r="BK94" s="49"/>
      <c r="BL94" s="49"/>
      <c r="BM94" s="50"/>
      <c r="BN94" s="454"/>
      <c r="BO94" s="49"/>
      <c r="BP94" s="49"/>
      <c r="BQ94" s="49"/>
      <c r="BR94" s="49"/>
      <c r="BS94" s="49"/>
      <c r="BT94" s="50"/>
      <c r="BU94" s="454"/>
      <c r="BV94" s="49"/>
      <c r="BW94" s="49"/>
      <c r="BX94" s="49"/>
      <c r="BY94" s="49"/>
      <c r="BZ94" s="49"/>
      <c r="CA94" s="50"/>
      <c r="CB94" s="454"/>
      <c r="CC94" s="49"/>
      <c r="CD94" s="49"/>
      <c r="CE94" s="49"/>
      <c r="CF94" s="49"/>
      <c r="CG94" s="49"/>
      <c r="CH94" s="50"/>
      <c r="CI94" s="454"/>
      <c r="CJ94" s="49"/>
      <c r="CK94" s="49"/>
      <c r="CL94" s="49"/>
      <c r="CM94" s="49"/>
      <c r="CN94" s="49"/>
      <c r="CO94" s="50"/>
      <c r="CP94" s="455"/>
      <c r="CQ94" s="49"/>
      <c r="CR94" s="49"/>
      <c r="CS94" s="49"/>
      <c r="CT94" s="49"/>
      <c r="CU94" s="49"/>
      <c r="CV94" s="50"/>
      <c r="CW94" s="454"/>
      <c r="CX94" s="49"/>
      <c r="CY94" s="49"/>
      <c r="CZ94" s="49"/>
      <c r="DA94" s="49"/>
      <c r="DB94" s="49"/>
      <c r="DC94" s="50"/>
      <c r="DD94" s="455"/>
      <c r="DE94" s="49"/>
      <c r="DF94" s="49"/>
      <c r="DG94" s="49"/>
      <c r="DH94" s="49"/>
      <c r="DI94" s="49"/>
      <c r="DJ94" s="50"/>
      <c r="DK94" s="53"/>
      <c r="DL94" s="43"/>
      <c r="DM94" s="43"/>
      <c r="DN94" s="43"/>
      <c r="DO94" s="43"/>
      <c r="DP94" s="43"/>
      <c r="DQ94" s="43"/>
      <c r="DR94" s="43"/>
      <c r="DS94" s="43"/>
      <c r="DT94" s="43"/>
      <c r="DU94" s="43"/>
      <c r="DV94" s="43"/>
      <c r="DW94" s="43"/>
      <c r="DX94" s="43"/>
      <c r="DY94" s="43"/>
      <c r="DZ94" s="43"/>
      <c r="EA94" s="43"/>
      <c r="EB94" s="43"/>
      <c r="EC94" s="43"/>
      <c r="ED94" s="43"/>
      <c r="EE94" s="43"/>
      <c r="EF94" s="43"/>
      <c r="EG94" s="43"/>
      <c r="EH94" s="43"/>
      <c r="EI94" s="43"/>
      <c r="EJ94" s="43"/>
      <c r="EK94" s="43"/>
      <c r="EL94" s="43"/>
      <c r="EM94" s="43"/>
      <c r="EN94" s="43"/>
      <c r="EO94" s="43"/>
      <c r="EP94" s="43"/>
      <c r="EQ94" s="43"/>
      <c r="ER94" s="43"/>
      <c r="ES94" s="43"/>
      <c r="ET94" s="43"/>
      <c r="EU94" s="43"/>
      <c r="EV94" s="43"/>
      <c r="EW94" s="43"/>
      <c r="EX94" s="43"/>
      <c r="EY94" s="43"/>
      <c r="EZ94" s="43"/>
      <c r="FA94" s="43"/>
      <c r="FB94" s="43"/>
      <c r="FC94" s="43"/>
      <c r="FD94" s="43"/>
      <c r="FE94" s="43"/>
      <c r="FF94" s="43"/>
      <c r="FG94" s="43"/>
      <c r="FH94" s="43"/>
      <c r="FI94" s="43"/>
      <c r="FJ94" s="43"/>
      <c r="FK94" s="43"/>
      <c r="FL94" s="43"/>
      <c r="FM94" s="43"/>
      <c r="FN94" s="43"/>
      <c r="FO94" s="43"/>
      <c r="FP94" s="43"/>
      <c r="FQ94" s="43"/>
      <c r="FR94" s="43"/>
      <c r="FS94" s="43"/>
      <c r="FT94" s="43"/>
      <c r="FU94" s="43"/>
      <c r="FV94" s="43"/>
      <c r="FW94" s="43"/>
      <c r="FX94" s="43"/>
      <c r="FY94" s="43"/>
      <c r="FZ94" s="43"/>
      <c r="GA94" s="43"/>
      <c r="GB94" s="43"/>
      <c r="GC94" s="43"/>
      <c r="GD94" s="43"/>
      <c r="GE94" s="43"/>
      <c r="GF94" s="43"/>
      <c r="GG94" s="43"/>
      <c r="GH94" s="43"/>
      <c r="GI94" s="43"/>
      <c r="GJ94" s="43"/>
      <c r="GK94" s="43"/>
      <c r="GL94" s="43"/>
      <c r="GM94" s="43"/>
      <c r="GN94" s="43"/>
      <c r="GO94" s="43"/>
      <c r="GP94" s="43"/>
      <c r="GQ94" s="43"/>
      <c r="GR94" s="43"/>
      <c r="GS94" s="43"/>
      <c r="GT94" s="43"/>
      <c r="GU94" s="43"/>
      <c r="GV94" s="43"/>
      <c r="GW94" s="43"/>
    </row>
    <row r="95" ht="15.0" customHeight="1">
      <c r="A95" s="318"/>
      <c r="B95" s="59"/>
      <c r="G95" s="60"/>
      <c r="H95" s="70"/>
      <c r="I95" s="57"/>
      <c r="J95" s="57"/>
      <c r="K95" s="57"/>
      <c r="L95" s="57"/>
      <c r="M95" s="57"/>
      <c r="N95" s="58"/>
      <c r="O95" s="70"/>
      <c r="P95" s="57"/>
      <c r="Q95" s="57"/>
      <c r="R95" s="57"/>
      <c r="S95" s="57"/>
      <c r="T95" s="57"/>
      <c r="U95" s="58"/>
      <c r="V95" s="70"/>
      <c r="W95" s="57"/>
      <c r="X95" s="57"/>
      <c r="Y95" s="57"/>
      <c r="Z95" s="57"/>
      <c r="AA95" s="57"/>
      <c r="AB95" s="58"/>
      <c r="AC95" s="70"/>
      <c r="AD95" s="57"/>
      <c r="AE95" s="57"/>
      <c r="AF95" s="57"/>
      <c r="AG95" s="57"/>
      <c r="AH95" s="57"/>
      <c r="AI95" s="58"/>
      <c r="AJ95" s="70"/>
      <c r="AK95" s="57"/>
      <c r="AL95" s="57"/>
      <c r="AM95" s="57"/>
      <c r="AN95" s="57"/>
      <c r="AO95" s="57"/>
      <c r="AP95" s="58"/>
      <c r="AQ95" s="59"/>
      <c r="AS95" s="60"/>
      <c r="AT95" s="59"/>
      <c r="AY95" s="60"/>
      <c r="AZ95" s="70"/>
      <c r="BA95" s="57"/>
      <c r="BB95" s="57"/>
      <c r="BC95" s="57"/>
      <c r="BD95" s="57"/>
      <c r="BE95" s="57"/>
      <c r="BF95" s="58"/>
      <c r="BG95" s="70"/>
      <c r="BH95" s="57"/>
      <c r="BI95" s="57"/>
      <c r="BJ95" s="57"/>
      <c r="BK95" s="57"/>
      <c r="BL95" s="57"/>
      <c r="BM95" s="58"/>
      <c r="BN95" s="70"/>
      <c r="BO95" s="57"/>
      <c r="BP95" s="57"/>
      <c r="BQ95" s="57"/>
      <c r="BR95" s="57"/>
      <c r="BS95" s="57"/>
      <c r="BT95" s="58"/>
      <c r="BU95" s="70"/>
      <c r="BV95" s="57"/>
      <c r="BW95" s="57"/>
      <c r="BX95" s="57"/>
      <c r="BY95" s="57"/>
      <c r="BZ95" s="57"/>
      <c r="CA95" s="58"/>
      <c r="CB95" s="70"/>
      <c r="CC95" s="57"/>
      <c r="CD95" s="57"/>
      <c r="CE95" s="57"/>
      <c r="CF95" s="57"/>
      <c r="CG95" s="57"/>
      <c r="CH95" s="58"/>
      <c r="CI95" s="70"/>
      <c r="CJ95" s="57"/>
      <c r="CK95" s="57"/>
      <c r="CL95" s="57"/>
      <c r="CM95" s="57"/>
      <c r="CN95" s="57"/>
      <c r="CO95" s="58"/>
      <c r="CP95" s="70"/>
      <c r="CQ95" s="57"/>
      <c r="CR95" s="57"/>
      <c r="CS95" s="57"/>
      <c r="CT95" s="57"/>
      <c r="CU95" s="57"/>
      <c r="CV95" s="58"/>
      <c r="CW95" s="70"/>
      <c r="CX95" s="57"/>
      <c r="CY95" s="57"/>
      <c r="CZ95" s="57"/>
      <c r="DA95" s="57"/>
      <c r="DB95" s="57"/>
      <c r="DC95" s="58"/>
      <c r="DD95" s="70"/>
      <c r="DE95" s="57"/>
      <c r="DF95" s="57"/>
      <c r="DG95" s="57"/>
      <c r="DH95" s="57"/>
      <c r="DI95" s="57"/>
      <c r="DJ95" s="58"/>
      <c r="DK95" s="53"/>
      <c r="DL95" s="43"/>
      <c r="DM95" s="43"/>
      <c r="DN95" s="43"/>
      <c r="DO95" s="43"/>
      <c r="DP95" s="43"/>
      <c r="DQ95" s="43"/>
      <c r="DR95" s="43"/>
      <c r="DS95" s="43"/>
      <c r="DT95" s="43"/>
      <c r="DU95" s="43"/>
      <c r="DV95" s="43"/>
      <c r="DW95" s="43"/>
      <c r="DX95" s="43"/>
      <c r="DY95" s="43"/>
      <c r="DZ95" s="43"/>
      <c r="EA95" s="43"/>
      <c r="EB95" s="43"/>
      <c r="EC95" s="43"/>
      <c r="ED95" s="43"/>
      <c r="EE95" s="43"/>
      <c r="EF95" s="43"/>
      <c r="EG95" s="43"/>
      <c r="EH95" s="43"/>
      <c r="EI95" s="43"/>
      <c r="EJ95" s="43"/>
      <c r="EK95" s="43"/>
      <c r="EL95" s="43"/>
      <c r="EM95" s="43"/>
      <c r="EN95" s="43"/>
      <c r="EO95" s="43"/>
      <c r="EP95" s="43"/>
      <c r="EQ95" s="43"/>
      <c r="ER95" s="43"/>
      <c r="ES95" s="43"/>
      <c r="ET95" s="43"/>
      <c r="EU95" s="43"/>
      <c r="EV95" s="43"/>
      <c r="EW95" s="43"/>
      <c r="EX95" s="43"/>
      <c r="EY95" s="43"/>
      <c r="EZ95" s="43"/>
      <c r="FA95" s="43"/>
      <c r="FB95" s="43"/>
      <c r="FC95" s="43"/>
      <c r="FD95" s="43"/>
      <c r="FE95" s="43"/>
      <c r="FF95" s="43"/>
      <c r="FG95" s="43"/>
      <c r="FH95" s="43"/>
      <c r="FI95" s="43"/>
      <c r="FJ95" s="43"/>
      <c r="FK95" s="43"/>
      <c r="FL95" s="43"/>
      <c r="FM95" s="43"/>
      <c r="FN95" s="43"/>
      <c r="FO95" s="43"/>
      <c r="FP95" s="43"/>
      <c r="FQ95" s="43"/>
      <c r="FR95" s="43"/>
      <c r="FS95" s="43"/>
      <c r="FT95" s="43"/>
      <c r="FU95" s="43"/>
      <c r="FV95" s="43"/>
      <c r="FW95" s="43"/>
      <c r="FX95" s="43"/>
      <c r="FY95" s="43"/>
      <c r="FZ95" s="43"/>
      <c r="GA95" s="43"/>
      <c r="GB95" s="43"/>
      <c r="GC95" s="43"/>
      <c r="GD95" s="43"/>
      <c r="GE95" s="43"/>
      <c r="GF95" s="43"/>
      <c r="GG95" s="43"/>
      <c r="GH95" s="43"/>
      <c r="GI95" s="43"/>
      <c r="GJ95" s="43"/>
      <c r="GK95" s="43"/>
      <c r="GL95" s="43"/>
      <c r="GM95" s="43"/>
      <c r="GN95" s="43"/>
      <c r="GO95" s="43"/>
      <c r="GP95" s="43"/>
      <c r="GQ95" s="43"/>
      <c r="GR95" s="43"/>
      <c r="GS95" s="43"/>
      <c r="GT95" s="43"/>
      <c r="GU95" s="43"/>
      <c r="GV95" s="43"/>
      <c r="GW95" s="43"/>
    </row>
    <row r="96" ht="15.0" customHeight="1">
      <c r="A96" s="318"/>
      <c r="B96" s="59"/>
      <c r="G96" s="60"/>
      <c r="H96" s="459"/>
      <c r="I96" s="49"/>
      <c r="J96" s="49"/>
      <c r="K96" s="49"/>
      <c r="L96" s="49"/>
      <c r="M96" s="49"/>
      <c r="N96" s="50"/>
      <c r="O96" s="459"/>
      <c r="P96" s="49"/>
      <c r="Q96" s="49"/>
      <c r="R96" s="49"/>
      <c r="S96" s="49"/>
      <c r="T96" s="49"/>
      <c r="U96" s="50"/>
      <c r="V96" s="459"/>
      <c r="W96" s="49"/>
      <c r="X96" s="49"/>
      <c r="Y96" s="49"/>
      <c r="Z96" s="49"/>
      <c r="AA96" s="49"/>
      <c r="AB96" s="50"/>
      <c r="AC96" s="459"/>
      <c r="AD96" s="49"/>
      <c r="AE96" s="49"/>
      <c r="AF96" s="49"/>
      <c r="AG96" s="49"/>
      <c r="AH96" s="49"/>
      <c r="AI96" s="50"/>
      <c r="AJ96" s="459"/>
      <c r="AK96" s="49"/>
      <c r="AL96" s="49"/>
      <c r="AM96" s="49"/>
      <c r="AN96" s="49"/>
      <c r="AO96" s="49"/>
      <c r="AP96" s="50"/>
      <c r="AQ96" s="59"/>
      <c r="AS96" s="60"/>
      <c r="AT96" s="59"/>
      <c r="AY96" s="60"/>
      <c r="AZ96" s="456"/>
      <c r="BA96" s="49"/>
      <c r="BB96" s="49"/>
      <c r="BC96" s="49"/>
      <c r="BD96" s="49"/>
      <c r="BE96" s="49"/>
      <c r="BF96" s="50"/>
      <c r="BG96" s="456"/>
      <c r="BH96" s="49"/>
      <c r="BI96" s="49"/>
      <c r="BJ96" s="49"/>
      <c r="BK96" s="49"/>
      <c r="BL96" s="49"/>
      <c r="BM96" s="50"/>
      <c r="BN96" s="449"/>
      <c r="BO96" s="49"/>
      <c r="BP96" s="49"/>
      <c r="BQ96" s="49"/>
      <c r="BR96" s="49"/>
      <c r="BS96" s="49"/>
      <c r="BT96" s="50"/>
      <c r="BU96" s="449"/>
      <c r="BV96" s="49"/>
      <c r="BW96" s="49"/>
      <c r="BX96" s="49"/>
      <c r="BY96" s="49"/>
      <c r="BZ96" s="49"/>
      <c r="CA96" s="50"/>
      <c r="CB96" s="449"/>
      <c r="CC96" s="49"/>
      <c r="CD96" s="49"/>
      <c r="CE96" s="49"/>
      <c r="CF96" s="49"/>
      <c r="CG96" s="49"/>
      <c r="CH96" s="50"/>
      <c r="CI96" s="449"/>
      <c r="CJ96" s="49"/>
      <c r="CK96" s="49"/>
      <c r="CL96" s="49"/>
      <c r="CM96" s="49"/>
      <c r="CN96" s="49"/>
      <c r="CO96" s="50"/>
      <c r="CP96" s="450"/>
      <c r="CQ96" s="49"/>
      <c r="CR96" s="49"/>
      <c r="CS96" s="49"/>
      <c r="CT96" s="49"/>
      <c r="CU96" s="49"/>
      <c r="CV96" s="50"/>
      <c r="CW96" s="449"/>
      <c r="CX96" s="49"/>
      <c r="CY96" s="49"/>
      <c r="CZ96" s="49"/>
      <c r="DA96" s="49"/>
      <c r="DB96" s="49"/>
      <c r="DC96" s="50"/>
      <c r="DD96" s="450"/>
      <c r="DE96" s="49"/>
      <c r="DF96" s="49"/>
      <c r="DG96" s="49"/>
      <c r="DH96" s="49"/>
      <c r="DI96" s="49"/>
      <c r="DJ96" s="50"/>
      <c r="DK96" s="53"/>
      <c r="DL96" s="43"/>
      <c r="DM96" s="43"/>
      <c r="DN96" s="43"/>
      <c r="DO96" s="43"/>
      <c r="DP96" s="43"/>
      <c r="DQ96" s="43"/>
      <c r="DR96" s="43"/>
      <c r="DS96" s="43"/>
      <c r="DT96" s="43"/>
      <c r="DU96" s="43"/>
      <c r="DV96" s="43"/>
      <c r="DW96" s="43"/>
      <c r="DX96" s="43"/>
      <c r="DY96" s="43"/>
      <c r="DZ96" s="43"/>
      <c r="EA96" s="43"/>
      <c r="EB96" s="43"/>
      <c r="EC96" s="43"/>
      <c r="ED96" s="43"/>
      <c r="EE96" s="43"/>
      <c r="EF96" s="43"/>
      <c r="EG96" s="43"/>
      <c r="EH96" s="43"/>
      <c r="EI96" s="43"/>
      <c r="EJ96" s="43"/>
      <c r="EK96" s="43"/>
      <c r="EL96" s="43"/>
      <c r="EM96" s="43"/>
      <c r="EN96" s="43"/>
      <c r="EO96" s="43"/>
      <c r="EP96" s="43"/>
      <c r="EQ96" s="43"/>
      <c r="ER96" s="43"/>
      <c r="ES96" s="43"/>
      <c r="ET96" s="43"/>
      <c r="EU96" s="43"/>
      <c r="EV96" s="43"/>
      <c r="EW96" s="43"/>
      <c r="EX96" s="43"/>
      <c r="EY96" s="43"/>
      <c r="EZ96" s="43"/>
      <c r="FA96" s="43"/>
      <c r="FB96" s="43"/>
      <c r="FC96" s="43"/>
      <c r="FD96" s="43"/>
      <c r="FE96" s="43"/>
      <c r="FF96" s="43"/>
      <c r="FG96" s="43"/>
      <c r="FH96" s="43"/>
      <c r="FI96" s="43"/>
      <c r="FJ96" s="43"/>
      <c r="FK96" s="43"/>
      <c r="FL96" s="43"/>
      <c r="FM96" s="43"/>
      <c r="FN96" s="43"/>
      <c r="FO96" s="43"/>
      <c r="FP96" s="43"/>
      <c r="FQ96" s="43"/>
      <c r="FR96" s="43"/>
      <c r="FS96" s="43"/>
      <c r="FT96" s="43"/>
      <c r="FU96" s="43"/>
      <c r="FV96" s="43"/>
      <c r="FW96" s="43"/>
      <c r="FX96" s="43"/>
      <c r="FY96" s="43"/>
      <c r="FZ96" s="43"/>
      <c r="GA96" s="43"/>
      <c r="GB96" s="43"/>
      <c r="GC96" s="43"/>
      <c r="GD96" s="43"/>
      <c r="GE96" s="43"/>
      <c r="GF96" s="43"/>
      <c r="GG96" s="43"/>
      <c r="GH96" s="43"/>
      <c r="GI96" s="43"/>
      <c r="GJ96" s="43"/>
      <c r="GK96" s="43"/>
      <c r="GL96" s="43"/>
      <c r="GM96" s="43"/>
      <c r="GN96" s="43"/>
      <c r="GO96" s="43"/>
      <c r="GP96" s="43"/>
      <c r="GQ96" s="43"/>
      <c r="GR96" s="43"/>
      <c r="GS96" s="43"/>
      <c r="GT96" s="43"/>
      <c r="GU96" s="43"/>
      <c r="GV96" s="43"/>
      <c r="GW96" s="43"/>
    </row>
    <row r="97" ht="15.0" customHeight="1">
      <c r="A97" s="318"/>
      <c r="B97" s="59"/>
      <c r="G97" s="60"/>
      <c r="H97" s="70"/>
      <c r="I97" s="57"/>
      <c r="J97" s="57"/>
      <c r="K97" s="57"/>
      <c r="L97" s="57"/>
      <c r="M97" s="57"/>
      <c r="N97" s="58"/>
      <c r="O97" s="70"/>
      <c r="P97" s="57"/>
      <c r="Q97" s="57"/>
      <c r="R97" s="57"/>
      <c r="S97" s="57"/>
      <c r="T97" s="57"/>
      <c r="U97" s="58"/>
      <c r="V97" s="70"/>
      <c r="W97" s="57"/>
      <c r="X97" s="57"/>
      <c r="Y97" s="57"/>
      <c r="Z97" s="57"/>
      <c r="AA97" s="57"/>
      <c r="AB97" s="58"/>
      <c r="AC97" s="70"/>
      <c r="AD97" s="57"/>
      <c r="AE97" s="57"/>
      <c r="AF97" s="57"/>
      <c r="AG97" s="57"/>
      <c r="AH97" s="57"/>
      <c r="AI97" s="58"/>
      <c r="AJ97" s="70"/>
      <c r="AK97" s="57"/>
      <c r="AL97" s="57"/>
      <c r="AM97" s="57"/>
      <c r="AN97" s="57"/>
      <c r="AO97" s="57"/>
      <c r="AP97" s="58"/>
      <c r="AQ97" s="59"/>
      <c r="AS97" s="60"/>
      <c r="AT97" s="59"/>
      <c r="AY97" s="60"/>
      <c r="AZ97" s="70"/>
      <c r="BA97" s="57"/>
      <c r="BB97" s="57"/>
      <c r="BC97" s="57"/>
      <c r="BD97" s="57"/>
      <c r="BE97" s="57"/>
      <c r="BF97" s="58"/>
      <c r="BG97" s="70"/>
      <c r="BH97" s="57"/>
      <c r="BI97" s="57"/>
      <c r="BJ97" s="57"/>
      <c r="BK97" s="57"/>
      <c r="BL97" s="57"/>
      <c r="BM97" s="58"/>
      <c r="BN97" s="70"/>
      <c r="BO97" s="57"/>
      <c r="BP97" s="57"/>
      <c r="BQ97" s="57"/>
      <c r="BR97" s="57"/>
      <c r="BS97" s="57"/>
      <c r="BT97" s="58"/>
      <c r="BU97" s="70"/>
      <c r="BV97" s="57"/>
      <c r="BW97" s="57"/>
      <c r="BX97" s="57"/>
      <c r="BY97" s="57"/>
      <c r="BZ97" s="57"/>
      <c r="CA97" s="58"/>
      <c r="CB97" s="70"/>
      <c r="CC97" s="57"/>
      <c r="CD97" s="57"/>
      <c r="CE97" s="57"/>
      <c r="CF97" s="57"/>
      <c r="CG97" s="57"/>
      <c r="CH97" s="58"/>
      <c r="CI97" s="70"/>
      <c r="CJ97" s="57"/>
      <c r="CK97" s="57"/>
      <c r="CL97" s="57"/>
      <c r="CM97" s="57"/>
      <c r="CN97" s="57"/>
      <c r="CO97" s="58"/>
      <c r="CP97" s="70"/>
      <c r="CQ97" s="57"/>
      <c r="CR97" s="57"/>
      <c r="CS97" s="57"/>
      <c r="CT97" s="57"/>
      <c r="CU97" s="57"/>
      <c r="CV97" s="58"/>
      <c r="CW97" s="70"/>
      <c r="CX97" s="57"/>
      <c r="CY97" s="57"/>
      <c r="CZ97" s="57"/>
      <c r="DA97" s="57"/>
      <c r="DB97" s="57"/>
      <c r="DC97" s="58"/>
      <c r="DD97" s="70"/>
      <c r="DE97" s="57"/>
      <c r="DF97" s="57"/>
      <c r="DG97" s="57"/>
      <c r="DH97" s="57"/>
      <c r="DI97" s="57"/>
      <c r="DJ97" s="58"/>
      <c r="DK97" s="53"/>
      <c r="DL97" s="43"/>
      <c r="DM97" s="43"/>
      <c r="DN97" s="43"/>
      <c r="DO97" s="43"/>
      <c r="DP97" s="43"/>
      <c r="DQ97" s="43"/>
      <c r="DR97" s="43"/>
      <c r="DS97" s="43"/>
      <c r="DT97" s="43"/>
      <c r="DU97" s="43"/>
      <c r="DV97" s="43"/>
      <c r="DW97" s="43"/>
      <c r="DX97" s="43"/>
      <c r="DY97" s="43"/>
      <c r="DZ97" s="43"/>
      <c r="EA97" s="43"/>
      <c r="EB97" s="43"/>
      <c r="EC97" s="43"/>
      <c r="ED97" s="43"/>
      <c r="EE97" s="43"/>
      <c r="EF97" s="43"/>
      <c r="EG97" s="43"/>
      <c r="EH97" s="43"/>
      <c r="EI97" s="43"/>
      <c r="EJ97" s="43"/>
      <c r="EK97" s="43"/>
      <c r="EL97" s="43"/>
      <c r="EM97" s="43"/>
      <c r="EN97" s="43"/>
      <c r="EO97" s="43"/>
      <c r="EP97" s="43"/>
      <c r="EQ97" s="43"/>
      <c r="ER97" s="43"/>
      <c r="ES97" s="43"/>
      <c r="ET97" s="43"/>
      <c r="EU97" s="43"/>
      <c r="EV97" s="43"/>
      <c r="EW97" s="43"/>
      <c r="EX97" s="43"/>
      <c r="EY97" s="43"/>
      <c r="EZ97" s="43"/>
      <c r="FA97" s="43"/>
      <c r="FB97" s="43"/>
      <c r="FC97" s="43"/>
      <c r="FD97" s="43"/>
      <c r="FE97" s="43"/>
      <c r="FF97" s="43"/>
      <c r="FG97" s="43"/>
      <c r="FH97" s="43"/>
      <c r="FI97" s="43"/>
      <c r="FJ97" s="43"/>
      <c r="FK97" s="43"/>
      <c r="FL97" s="43"/>
      <c r="FM97" s="43"/>
      <c r="FN97" s="43"/>
      <c r="FO97" s="43"/>
      <c r="FP97" s="43"/>
      <c r="FQ97" s="43"/>
      <c r="FR97" s="43"/>
      <c r="FS97" s="43"/>
      <c r="FT97" s="43"/>
      <c r="FU97" s="43"/>
      <c r="FV97" s="43"/>
      <c r="FW97" s="43"/>
      <c r="FX97" s="43"/>
      <c r="FY97" s="43"/>
      <c r="FZ97" s="43"/>
      <c r="GA97" s="43"/>
      <c r="GB97" s="43"/>
      <c r="GC97" s="43"/>
      <c r="GD97" s="43"/>
      <c r="GE97" s="43"/>
      <c r="GF97" s="43"/>
      <c r="GG97" s="43"/>
      <c r="GH97" s="43"/>
      <c r="GI97" s="43"/>
      <c r="GJ97" s="43"/>
      <c r="GK97" s="43"/>
      <c r="GL97" s="43"/>
      <c r="GM97" s="43"/>
      <c r="GN97" s="43"/>
      <c r="GO97" s="43"/>
      <c r="GP97" s="43"/>
      <c r="GQ97" s="43"/>
      <c r="GR97" s="43"/>
      <c r="GS97" s="43"/>
      <c r="GT97" s="43"/>
      <c r="GU97" s="43"/>
      <c r="GV97" s="43"/>
      <c r="GW97" s="43"/>
    </row>
    <row r="98" ht="15.0" customHeight="1">
      <c r="A98" s="318"/>
      <c r="B98" s="59"/>
      <c r="G98" s="60"/>
      <c r="H98" s="458"/>
      <c r="I98" s="49"/>
      <c r="J98" s="49"/>
      <c r="K98" s="49"/>
      <c r="L98" s="49"/>
      <c r="M98" s="49"/>
      <c r="N98" s="50"/>
      <c r="O98" s="458"/>
      <c r="P98" s="49"/>
      <c r="Q98" s="49"/>
      <c r="R98" s="49"/>
      <c r="S98" s="49"/>
      <c r="T98" s="49"/>
      <c r="U98" s="50"/>
      <c r="V98" s="458"/>
      <c r="W98" s="49"/>
      <c r="X98" s="49"/>
      <c r="Y98" s="49"/>
      <c r="Z98" s="49"/>
      <c r="AA98" s="49"/>
      <c r="AB98" s="50"/>
      <c r="AC98" s="458"/>
      <c r="AD98" s="49"/>
      <c r="AE98" s="49"/>
      <c r="AF98" s="49"/>
      <c r="AG98" s="49"/>
      <c r="AH98" s="49"/>
      <c r="AI98" s="50"/>
      <c r="AJ98" s="458"/>
      <c r="AK98" s="49"/>
      <c r="AL98" s="49"/>
      <c r="AM98" s="49"/>
      <c r="AN98" s="49"/>
      <c r="AO98" s="49"/>
      <c r="AP98" s="50"/>
      <c r="AQ98" s="59"/>
      <c r="AS98" s="60"/>
      <c r="AT98" s="59"/>
      <c r="AY98" s="60"/>
      <c r="AZ98" s="457"/>
      <c r="BA98" s="49"/>
      <c r="BB98" s="49"/>
      <c r="BC98" s="49"/>
      <c r="BD98" s="49"/>
      <c r="BE98" s="49"/>
      <c r="BF98" s="50"/>
      <c r="BG98" s="457"/>
      <c r="BH98" s="49"/>
      <c r="BI98" s="49"/>
      <c r="BJ98" s="49"/>
      <c r="BK98" s="49"/>
      <c r="BL98" s="49"/>
      <c r="BM98" s="50"/>
      <c r="BN98" s="454"/>
      <c r="BO98" s="49"/>
      <c r="BP98" s="49"/>
      <c r="BQ98" s="49"/>
      <c r="BR98" s="49"/>
      <c r="BS98" s="49"/>
      <c r="BT98" s="50"/>
      <c r="BU98" s="454"/>
      <c r="BV98" s="49"/>
      <c r="BW98" s="49"/>
      <c r="BX98" s="49"/>
      <c r="BY98" s="49"/>
      <c r="BZ98" s="49"/>
      <c r="CA98" s="50"/>
      <c r="CB98" s="454"/>
      <c r="CC98" s="49"/>
      <c r="CD98" s="49"/>
      <c r="CE98" s="49"/>
      <c r="CF98" s="49"/>
      <c r="CG98" s="49"/>
      <c r="CH98" s="50"/>
      <c r="CI98" s="454"/>
      <c r="CJ98" s="49"/>
      <c r="CK98" s="49"/>
      <c r="CL98" s="49"/>
      <c r="CM98" s="49"/>
      <c r="CN98" s="49"/>
      <c r="CO98" s="50"/>
      <c r="CP98" s="455"/>
      <c r="CQ98" s="49"/>
      <c r="CR98" s="49"/>
      <c r="CS98" s="49"/>
      <c r="CT98" s="49"/>
      <c r="CU98" s="49"/>
      <c r="CV98" s="50"/>
      <c r="CW98" s="454"/>
      <c r="CX98" s="49"/>
      <c r="CY98" s="49"/>
      <c r="CZ98" s="49"/>
      <c r="DA98" s="49"/>
      <c r="DB98" s="49"/>
      <c r="DC98" s="50"/>
      <c r="DD98" s="455"/>
      <c r="DE98" s="49"/>
      <c r="DF98" s="49"/>
      <c r="DG98" s="49"/>
      <c r="DH98" s="49"/>
      <c r="DI98" s="49"/>
      <c r="DJ98" s="50"/>
      <c r="DK98" s="53"/>
      <c r="DL98" s="43"/>
      <c r="DM98" s="43"/>
      <c r="DN98" s="43"/>
      <c r="DO98" s="43"/>
      <c r="DP98" s="43"/>
      <c r="DQ98" s="43"/>
      <c r="DR98" s="43"/>
      <c r="DS98" s="43"/>
      <c r="DT98" s="43"/>
      <c r="DU98" s="43"/>
      <c r="DV98" s="43"/>
      <c r="DW98" s="43"/>
      <c r="DX98" s="43"/>
      <c r="DY98" s="43"/>
      <c r="DZ98" s="43"/>
      <c r="EA98" s="43"/>
      <c r="EB98" s="43"/>
      <c r="EC98" s="43"/>
      <c r="ED98" s="43"/>
      <c r="EE98" s="43"/>
      <c r="EF98" s="43"/>
      <c r="EG98" s="43"/>
      <c r="EH98" s="43"/>
      <c r="EI98" s="43"/>
      <c r="EJ98" s="43"/>
      <c r="EK98" s="43"/>
      <c r="EL98" s="43"/>
      <c r="EM98" s="43"/>
      <c r="EN98" s="43"/>
      <c r="EO98" s="43"/>
      <c r="EP98" s="43"/>
      <c r="EQ98" s="43"/>
      <c r="ER98" s="43"/>
      <c r="ES98" s="43"/>
      <c r="ET98" s="43"/>
      <c r="EU98" s="43"/>
      <c r="EV98" s="43"/>
      <c r="EW98" s="43"/>
      <c r="EX98" s="43"/>
      <c r="EY98" s="43"/>
      <c r="EZ98" s="43"/>
      <c r="FA98" s="43"/>
      <c r="FB98" s="43"/>
      <c r="FC98" s="43"/>
      <c r="FD98" s="43"/>
      <c r="FE98" s="43"/>
      <c r="FF98" s="43"/>
      <c r="FG98" s="43"/>
      <c r="FH98" s="43"/>
      <c r="FI98" s="43"/>
      <c r="FJ98" s="43"/>
      <c r="FK98" s="43"/>
      <c r="FL98" s="43"/>
      <c r="FM98" s="43"/>
      <c r="FN98" s="43"/>
      <c r="FO98" s="43"/>
      <c r="FP98" s="43"/>
      <c r="FQ98" s="43"/>
      <c r="FR98" s="43"/>
      <c r="FS98" s="43"/>
      <c r="FT98" s="43"/>
      <c r="FU98" s="43"/>
      <c r="FV98" s="43"/>
      <c r="FW98" s="43"/>
      <c r="FX98" s="43"/>
      <c r="FY98" s="43"/>
      <c r="FZ98" s="43"/>
      <c r="GA98" s="43"/>
      <c r="GB98" s="43"/>
      <c r="GC98" s="43"/>
      <c r="GD98" s="43"/>
      <c r="GE98" s="43"/>
      <c r="GF98" s="43"/>
      <c r="GG98" s="43"/>
      <c r="GH98" s="43"/>
      <c r="GI98" s="43"/>
      <c r="GJ98" s="43"/>
      <c r="GK98" s="43"/>
      <c r="GL98" s="43"/>
      <c r="GM98" s="43"/>
      <c r="GN98" s="43"/>
      <c r="GO98" s="43"/>
      <c r="GP98" s="43"/>
      <c r="GQ98" s="43"/>
      <c r="GR98" s="43"/>
      <c r="GS98" s="43"/>
      <c r="GT98" s="43"/>
      <c r="GU98" s="43"/>
      <c r="GV98" s="43"/>
      <c r="GW98" s="43"/>
    </row>
    <row r="99" ht="15.0" customHeight="1">
      <c r="A99" s="318"/>
      <c r="B99" s="59"/>
      <c r="G99" s="60"/>
      <c r="H99" s="70"/>
      <c r="I99" s="57"/>
      <c r="J99" s="57"/>
      <c r="K99" s="57"/>
      <c r="L99" s="57"/>
      <c r="M99" s="57"/>
      <c r="N99" s="58"/>
      <c r="O99" s="70"/>
      <c r="P99" s="57"/>
      <c r="Q99" s="57"/>
      <c r="R99" s="57"/>
      <c r="S99" s="57"/>
      <c r="T99" s="57"/>
      <c r="U99" s="58"/>
      <c r="V99" s="70"/>
      <c r="W99" s="57"/>
      <c r="X99" s="57"/>
      <c r="Y99" s="57"/>
      <c r="Z99" s="57"/>
      <c r="AA99" s="57"/>
      <c r="AB99" s="58"/>
      <c r="AC99" s="70"/>
      <c r="AD99" s="57"/>
      <c r="AE99" s="57"/>
      <c r="AF99" s="57"/>
      <c r="AG99" s="57"/>
      <c r="AH99" s="57"/>
      <c r="AI99" s="58"/>
      <c r="AJ99" s="70"/>
      <c r="AK99" s="57"/>
      <c r="AL99" s="57"/>
      <c r="AM99" s="57"/>
      <c r="AN99" s="57"/>
      <c r="AO99" s="57"/>
      <c r="AP99" s="58"/>
      <c r="AQ99" s="59"/>
      <c r="AS99" s="60"/>
      <c r="AT99" s="59"/>
      <c r="AY99" s="60"/>
      <c r="AZ99" s="70"/>
      <c r="BA99" s="57"/>
      <c r="BB99" s="57"/>
      <c r="BC99" s="57"/>
      <c r="BD99" s="57"/>
      <c r="BE99" s="57"/>
      <c r="BF99" s="58"/>
      <c r="BG99" s="70"/>
      <c r="BH99" s="57"/>
      <c r="BI99" s="57"/>
      <c r="BJ99" s="57"/>
      <c r="BK99" s="57"/>
      <c r="BL99" s="57"/>
      <c r="BM99" s="58"/>
      <c r="BN99" s="70"/>
      <c r="BO99" s="57"/>
      <c r="BP99" s="57"/>
      <c r="BQ99" s="57"/>
      <c r="BR99" s="57"/>
      <c r="BS99" s="57"/>
      <c r="BT99" s="58"/>
      <c r="BU99" s="70"/>
      <c r="BV99" s="57"/>
      <c r="BW99" s="57"/>
      <c r="BX99" s="57"/>
      <c r="BY99" s="57"/>
      <c r="BZ99" s="57"/>
      <c r="CA99" s="58"/>
      <c r="CB99" s="70"/>
      <c r="CC99" s="57"/>
      <c r="CD99" s="57"/>
      <c r="CE99" s="57"/>
      <c r="CF99" s="57"/>
      <c r="CG99" s="57"/>
      <c r="CH99" s="58"/>
      <c r="CI99" s="70"/>
      <c r="CJ99" s="57"/>
      <c r="CK99" s="57"/>
      <c r="CL99" s="57"/>
      <c r="CM99" s="57"/>
      <c r="CN99" s="57"/>
      <c r="CO99" s="58"/>
      <c r="CP99" s="70"/>
      <c r="CQ99" s="57"/>
      <c r="CR99" s="57"/>
      <c r="CS99" s="57"/>
      <c r="CT99" s="57"/>
      <c r="CU99" s="57"/>
      <c r="CV99" s="58"/>
      <c r="CW99" s="70"/>
      <c r="CX99" s="57"/>
      <c r="CY99" s="57"/>
      <c r="CZ99" s="57"/>
      <c r="DA99" s="57"/>
      <c r="DB99" s="57"/>
      <c r="DC99" s="58"/>
      <c r="DD99" s="70"/>
      <c r="DE99" s="57"/>
      <c r="DF99" s="57"/>
      <c r="DG99" s="57"/>
      <c r="DH99" s="57"/>
      <c r="DI99" s="57"/>
      <c r="DJ99" s="58"/>
      <c r="DK99" s="53"/>
      <c r="DL99" s="43"/>
      <c r="DM99" s="43"/>
      <c r="DN99" s="43"/>
      <c r="DO99" s="43"/>
      <c r="DP99" s="43"/>
      <c r="DQ99" s="43"/>
      <c r="DR99" s="43"/>
      <c r="DS99" s="43"/>
      <c r="DT99" s="43"/>
      <c r="DU99" s="43"/>
      <c r="DV99" s="43"/>
      <c r="DW99" s="43"/>
      <c r="DX99" s="43"/>
      <c r="DY99" s="43"/>
      <c r="DZ99" s="43"/>
      <c r="EA99" s="43"/>
      <c r="EB99" s="43"/>
      <c r="EC99" s="43"/>
      <c r="ED99" s="43"/>
      <c r="EE99" s="43"/>
      <c r="EF99" s="43"/>
      <c r="EG99" s="43"/>
      <c r="EH99" s="43"/>
      <c r="EI99" s="43"/>
      <c r="EJ99" s="43"/>
      <c r="EK99" s="43"/>
      <c r="EL99" s="43"/>
      <c r="EM99" s="43"/>
      <c r="EN99" s="43"/>
      <c r="EO99" s="43"/>
      <c r="EP99" s="43"/>
      <c r="EQ99" s="43"/>
      <c r="ER99" s="43"/>
      <c r="ES99" s="43"/>
      <c r="ET99" s="43"/>
      <c r="EU99" s="43"/>
      <c r="EV99" s="43"/>
      <c r="EW99" s="43"/>
      <c r="EX99" s="43"/>
      <c r="EY99" s="43"/>
      <c r="EZ99" s="43"/>
      <c r="FA99" s="43"/>
      <c r="FB99" s="43"/>
      <c r="FC99" s="43"/>
      <c r="FD99" s="43"/>
      <c r="FE99" s="43"/>
      <c r="FF99" s="43"/>
      <c r="FG99" s="43"/>
      <c r="FH99" s="43"/>
      <c r="FI99" s="43"/>
      <c r="FJ99" s="43"/>
      <c r="FK99" s="43"/>
      <c r="FL99" s="43"/>
      <c r="FM99" s="43"/>
      <c r="FN99" s="43"/>
      <c r="FO99" s="43"/>
      <c r="FP99" s="43"/>
      <c r="FQ99" s="43"/>
      <c r="FR99" s="43"/>
      <c r="FS99" s="43"/>
      <c r="FT99" s="43"/>
      <c r="FU99" s="43"/>
      <c r="FV99" s="43"/>
      <c r="FW99" s="43"/>
      <c r="FX99" s="43"/>
      <c r="FY99" s="43"/>
      <c r="FZ99" s="43"/>
      <c r="GA99" s="43"/>
      <c r="GB99" s="43"/>
      <c r="GC99" s="43"/>
      <c r="GD99" s="43"/>
      <c r="GE99" s="43"/>
      <c r="GF99" s="43"/>
      <c r="GG99" s="43"/>
      <c r="GH99" s="43"/>
      <c r="GI99" s="43"/>
      <c r="GJ99" s="43"/>
      <c r="GK99" s="43"/>
      <c r="GL99" s="43"/>
      <c r="GM99" s="43"/>
      <c r="GN99" s="43"/>
      <c r="GO99" s="43"/>
      <c r="GP99" s="43"/>
      <c r="GQ99" s="43"/>
      <c r="GR99" s="43"/>
      <c r="GS99" s="43"/>
      <c r="GT99" s="43"/>
      <c r="GU99" s="43"/>
      <c r="GV99" s="43"/>
      <c r="GW99" s="43"/>
    </row>
    <row r="100" ht="15.0" customHeight="1">
      <c r="A100" s="318"/>
      <c r="B100" s="59"/>
      <c r="G100" s="60"/>
      <c r="H100" s="459"/>
      <c r="I100" s="49"/>
      <c r="J100" s="49"/>
      <c r="K100" s="49"/>
      <c r="L100" s="49"/>
      <c r="M100" s="49"/>
      <c r="N100" s="50"/>
      <c r="O100" s="459"/>
      <c r="P100" s="49"/>
      <c r="Q100" s="49"/>
      <c r="R100" s="49"/>
      <c r="S100" s="49"/>
      <c r="T100" s="49"/>
      <c r="U100" s="50"/>
      <c r="V100" s="459"/>
      <c r="W100" s="49"/>
      <c r="X100" s="49"/>
      <c r="Y100" s="49"/>
      <c r="Z100" s="49"/>
      <c r="AA100" s="49"/>
      <c r="AB100" s="50"/>
      <c r="AC100" s="459"/>
      <c r="AD100" s="49"/>
      <c r="AE100" s="49"/>
      <c r="AF100" s="49"/>
      <c r="AG100" s="49"/>
      <c r="AH100" s="49"/>
      <c r="AI100" s="50"/>
      <c r="AJ100" s="459"/>
      <c r="AK100" s="49"/>
      <c r="AL100" s="49"/>
      <c r="AM100" s="49"/>
      <c r="AN100" s="49"/>
      <c r="AO100" s="49"/>
      <c r="AP100" s="50"/>
      <c r="AQ100" s="59"/>
      <c r="AS100" s="60"/>
      <c r="AT100" s="59"/>
      <c r="AY100" s="60"/>
      <c r="AZ100" s="456"/>
      <c r="BA100" s="49"/>
      <c r="BB100" s="49"/>
      <c r="BC100" s="49"/>
      <c r="BD100" s="49"/>
      <c r="BE100" s="49"/>
      <c r="BF100" s="50"/>
      <c r="BG100" s="456"/>
      <c r="BH100" s="49"/>
      <c r="BI100" s="49"/>
      <c r="BJ100" s="49"/>
      <c r="BK100" s="49"/>
      <c r="BL100" s="49"/>
      <c r="BM100" s="50"/>
      <c r="BN100" s="449"/>
      <c r="BO100" s="49"/>
      <c r="BP100" s="49"/>
      <c r="BQ100" s="49"/>
      <c r="BR100" s="49"/>
      <c r="BS100" s="49"/>
      <c r="BT100" s="50"/>
      <c r="BU100" s="449"/>
      <c r="BV100" s="49"/>
      <c r="BW100" s="49"/>
      <c r="BX100" s="49"/>
      <c r="BY100" s="49"/>
      <c r="BZ100" s="49"/>
      <c r="CA100" s="50"/>
      <c r="CB100" s="449"/>
      <c r="CC100" s="49"/>
      <c r="CD100" s="49"/>
      <c r="CE100" s="49"/>
      <c r="CF100" s="49"/>
      <c r="CG100" s="49"/>
      <c r="CH100" s="50"/>
      <c r="CI100" s="449"/>
      <c r="CJ100" s="49"/>
      <c r="CK100" s="49"/>
      <c r="CL100" s="49"/>
      <c r="CM100" s="49"/>
      <c r="CN100" s="49"/>
      <c r="CO100" s="50"/>
      <c r="CP100" s="450"/>
      <c r="CQ100" s="49"/>
      <c r="CR100" s="49"/>
      <c r="CS100" s="49"/>
      <c r="CT100" s="49"/>
      <c r="CU100" s="49"/>
      <c r="CV100" s="50"/>
      <c r="CW100" s="449"/>
      <c r="CX100" s="49"/>
      <c r="CY100" s="49"/>
      <c r="CZ100" s="49"/>
      <c r="DA100" s="49"/>
      <c r="DB100" s="49"/>
      <c r="DC100" s="50"/>
      <c r="DD100" s="450"/>
      <c r="DE100" s="49"/>
      <c r="DF100" s="49"/>
      <c r="DG100" s="49"/>
      <c r="DH100" s="49"/>
      <c r="DI100" s="49"/>
      <c r="DJ100" s="50"/>
      <c r="DK100" s="53"/>
      <c r="DL100" s="43"/>
      <c r="DM100" s="43"/>
      <c r="DN100" s="43"/>
      <c r="DO100" s="43"/>
      <c r="DP100" s="43"/>
      <c r="DQ100" s="43"/>
      <c r="DR100" s="43"/>
      <c r="DS100" s="43"/>
      <c r="DT100" s="43"/>
      <c r="DU100" s="43"/>
      <c r="DV100" s="43"/>
      <c r="DW100" s="43"/>
      <c r="DX100" s="43"/>
      <c r="DY100" s="43"/>
      <c r="DZ100" s="43"/>
      <c r="EA100" s="43"/>
      <c r="EB100" s="43"/>
      <c r="EC100" s="43"/>
      <c r="ED100" s="43"/>
      <c r="EE100" s="43"/>
      <c r="EF100" s="43"/>
      <c r="EG100" s="43"/>
      <c r="EH100" s="43"/>
      <c r="EI100" s="43"/>
      <c r="EJ100" s="43"/>
      <c r="EK100" s="43"/>
      <c r="EL100" s="43"/>
      <c r="EM100" s="43"/>
      <c r="EN100" s="43"/>
      <c r="EO100" s="43"/>
      <c r="EP100" s="43"/>
      <c r="EQ100" s="43"/>
      <c r="ER100" s="43"/>
      <c r="ES100" s="43"/>
      <c r="ET100" s="43"/>
      <c r="EU100" s="43"/>
      <c r="EV100" s="43"/>
      <c r="EW100" s="43"/>
      <c r="EX100" s="43"/>
      <c r="EY100" s="43"/>
      <c r="EZ100" s="43"/>
      <c r="FA100" s="43"/>
      <c r="FB100" s="43"/>
      <c r="FC100" s="43"/>
      <c r="FD100" s="43"/>
      <c r="FE100" s="43"/>
      <c r="FF100" s="43"/>
      <c r="FG100" s="43"/>
      <c r="FH100" s="43"/>
      <c r="FI100" s="43"/>
      <c r="FJ100" s="43"/>
      <c r="FK100" s="43"/>
      <c r="FL100" s="43"/>
      <c r="FM100" s="43"/>
      <c r="FN100" s="43"/>
      <c r="FO100" s="43"/>
      <c r="FP100" s="43"/>
      <c r="FQ100" s="43"/>
      <c r="FR100" s="43"/>
      <c r="FS100" s="43"/>
      <c r="FT100" s="43"/>
      <c r="FU100" s="43"/>
      <c r="FV100" s="43"/>
      <c r="FW100" s="43"/>
      <c r="FX100" s="43"/>
      <c r="FY100" s="43"/>
      <c r="FZ100" s="43"/>
      <c r="GA100" s="43"/>
      <c r="GB100" s="43"/>
      <c r="GC100" s="43"/>
      <c r="GD100" s="43"/>
      <c r="GE100" s="43"/>
      <c r="GF100" s="43"/>
      <c r="GG100" s="43"/>
      <c r="GH100" s="43"/>
      <c r="GI100" s="43"/>
      <c r="GJ100" s="43"/>
      <c r="GK100" s="43"/>
      <c r="GL100" s="43"/>
      <c r="GM100" s="43"/>
      <c r="GN100" s="43"/>
      <c r="GO100" s="43"/>
      <c r="GP100" s="43"/>
      <c r="GQ100" s="43"/>
      <c r="GR100" s="43"/>
      <c r="GS100" s="43"/>
      <c r="GT100" s="43"/>
      <c r="GU100" s="43"/>
      <c r="GV100" s="43"/>
      <c r="GW100" s="43"/>
    </row>
    <row r="101" ht="15.0" customHeight="1">
      <c r="A101" s="318"/>
      <c r="B101" s="59"/>
      <c r="G101" s="60"/>
      <c r="H101" s="70"/>
      <c r="I101" s="57"/>
      <c r="J101" s="57"/>
      <c r="K101" s="57"/>
      <c r="L101" s="57"/>
      <c r="M101" s="57"/>
      <c r="N101" s="58"/>
      <c r="O101" s="70"/>
      <c r="P101" s="57"/>
      <c r="Q101" s="57"/>
      <c r="R101" s="57"/>
      <c r="S101" s="57"/>
      <c r="T101" s="57"/>
      <c r="U101" s="58"/>
      <c r="V101" s="70"/>
      <c r="W101" s="57"/>
      <c r="X101" s="57"/>
      <c r="Y101" s="57"/>
      <c r="Z101" s="57"/>
      <c r="AA101" s="57"/>
      <c r="AB101" s="58"/>
      <c r="AC101" s="70"/>
      <c r="AD101" s="57"/>
      <c r="AE101" s="57"/>
      <c r="AF101" s="57"/>
      <c r="AG101" s="57"/>
      <c r="AH101" s="57"/>
      <c r="AI101" s="58"/>
      <c r="AJ101" s="70"/>
      <c r="AK101" s="57"/>
      <c r="AL101" s="57"/>
      <c r="AM101" s="57"/>
      <c r="AN101" s="57"/>
      <c r="AO101" s="57"/>
      <c r="AP101" s="58"/>
      <c r="AQ101" s="59"/>
      <c r="AS101" s="60"/>
      <c r="AT101" s="59"/>
      <c r="AY101" s="60"/>
      <c r="AZ101" s="70"/>
      <c r="BA101" s="57"/>
      <c r="BB101" s="57"/>
      <c r="BC101" s="57"/>
      <c r="BD101" s="57"/>
      <c r="BE101" s="57"/>
      <c r="BF101" s="58"/>
      <c r="BG101" s="70"/>
      <c r="BH101" s="57"/>
      <c r="BI101" s="57"/>
      <c r="BJ101" s="57"/>
      <c r="BK101" s="57"/>
      <c r="BL101" s="57"/>
      <c r="BM101" s="58"/>
      <c r="BN101" s="70"/>
      <c r="BO101" s="57"/>
      <c r="BP101" s="57"/>
      <c r="BQ101" s="57"/>
      <c r="BR101" s="57"/>
      <c r="BS101" s="57"/>
      <c r="BT101" s="58"/>
      <c r="BU101" s="70"/>
      <c r="BV101" s="57"/>
      <c r="BW101" s="57"/>
      <c r="BX101" s="57"/>
      <c r="BY101" s="57"/>
      <c r="BZ101" s="57"/>
      <c r="CA101" s="58"/>
      <c r="CB101" s="70"/>
      <c r="CC101" s="57"/>
      <c r="CD101" s="57"/>
      <c r="CE101" s="57"/>
      <c r="CF101" s="57"/>
      <c r="CG101" s="57"/>
      <c r="CH101" s="58"/>
      <c r="CI101" s="70"/>
      <c r="CJ101" s="57"/>
      <c r="CK101" s="57"/>
      <c r="CL101" s="57"/>
      <c r="CM101" s="57"/>
      <c r="CN101" s="57"/>
      <c r="CO101" s="58"/>
      <c r="CP101" s="70"/>
      <c r="CQ101" s="57"/>
      <c r="CR101" s="57"/>
      <c r="CS101" s="57"/>
      <c r="CT101" s="57"/>
      <c r="CU101" s="57"/>
      <c r="CV101" s="58"/>
      <c r="CW101" s="70"/>
      <c r="CX101" s="57"/>
      <c r="CY101" s="57"/>
      <c r="CZ101" s="57"/>
      <c r="DA101" s="57"/>
      <c r="DB101" s="57"/>
      <c r="DC101" s="58"/>
      <c r="DD101" s="70"/>
      <c r="DE101" s="57"/>
      <c r="DF101" s="57"/>
      <c r="DG101" s="57"/>
      <c r="DH101" s="57"/>
      <c r="DI101" s="57"/>
      <c r="DJ101" s="58"/>
      <c r="DK101" s="53"/>
      <c r="DL101" s="43"/>
      <c r="DM101" s="43"/>
      <c r="DN101" s="43"/>
      <c r="DO101" s="43"/>
      <c r="DP101" s="43"/>
      <c r="DQ101" s="43"/>
      <c r="DR101" s="43"/>
      <c r="DS101" s="43"/>
      <c r="DT101" s="43"/>
      <c r="DU101" s="43"/>
      <c r="DV101" s="43"/>
      <c r="DW101" s="43"/>
      <c r="DX101" s="43"/>
      <c r="DY101" s="43"/>
      <c r="DZ101" s="43"/>
      <c r="EA101" s="43"/>
      <c r="EB101" s="43"/>
      <c r="EC101" s="43"/>
      <c r="ED101" s="43"/>
      <c r="EE101" s="43"/>
      <c r="EF101" s="43"/>
      <c r="EG101" s="43"/>
      <c r="EH101" s="43"/>
      <c r="EI101" s="43"/>
      <c r="EJ101" s="43"/>
      <c r="EK101" s="43"/>
      <c r="EL101" s="43"/>
      <c r="EM101" s="43"/>
      <c r="EN101" s="43"/>
      <c r="EO101" s="43"/>
      <c r="EP101" s="43"/>
      <c r="EQ101" s="43"/>
      <c r="ER101" s="43"/>
      <c r="ES101" s="43"/>
      <c r="ET101" s="43"/>
      <c r="EU101" s="43"/>
      <c r="EV101" s="43"/>
      <c r="EW101" s="43"/>
      <c r="EX101" s="43"/>
      <c r="EY101" s="43"/>
      <c r="EZ101" s="43"/>
      <c r="FA101" s="43"/>
      <c r="FB101" s="43"/>
      <c r="FC101" s="43"/>
      <c r="FD101" s="43"/>
      <c r="FE101" s="43"/>
      <c r="FF101" s="43"/>
      <c r="FG101" s="43"/>
      <c r="FH101" s="43"/>
      <c r="FI101" s="43"/>
      <c r="FJ101" s="43"/>
      <c r="FK101" s="43"/>
      <c r="FL101" s="43"/>
      <c r="FM101" s="43"/>
      <c r="FN101" s="43"/>
      <c r="FO101" s="43"/>
      <c r="FP101" s="43"/>
      <c r="FQ101" s="43"/>
      <c r="FR101" s="43"/>
      <c r="FS101" s="43"/>
      <c r="FT101" s="43"/>
      <c r="FU101" s="43"/>
      <c r="FV101" s="43"/>
      <c r="FW101" s="43"/>
      <c r="FX101" s="43"/>
      <c r="FY101" s="43"/>
      <c r="FZ101" s="43"/>
      <c r="GA101" s="43"/>
      <c r="GB101" s="43"/>
      <c r="GC101" s="43"/>
      <c r="GD101" s="43"/>
      <c r="GE101" s="43"/>
      <c r="GF101" s="43"/>
      <c r="GG101" s="43"/>
      <c r="GH101" s="43"/>
      <c r="GI101" s="43"/>
      <c r="GJ101" s="43"/>
      <c r="GK101" s="43"/>
      <c r="GL101" s="43"/>
      <c r="GM101" s="43"/>
      <c r="GN101" s="43"/>
      <c r="GO101" s="43"/>
      <c r="GP101" s="43"/>
      <c r="GQ101" s="43"/>
      <c r="GR101" s="43"/>
      <c r="GS101" s="43"/>
      <c r="GT101" s="43"/>
      <c r="GU101" s="43"/>
      <c r="GV101" s="43"/>
      <c r="GW101" s="43"/>
    </row>
    <row r="102" ht="15.0" customHeight="1">
      <c r="A102" s="318"/>
      <c r="B102" s="59"/>
      <c r="G102" s="60"/>
      <c r="H102" s="458"/>
      <c r="I102" s="49"/>
      <c r="J102" s="49"/>
      <c r="K102" s="49"/>
      <c r="L102" s="49"/>
      <c r="M102" s="49"/>
      <c r="N102" s="50"/>
      <c r="O102" s="458"/>
      <c r="P102" s="49"/>
      <c r="Q102" s="49"/>
      <c r="R102" s="49"/>
      <c r="S102" s="49"/>
      <c r="T102" s="49"/>
      <c r="U102" s="50"/>
      <c r="V102" s="458"/>
      <c r="W102" s="49"/>
      <c r="X102" s="49"/>
      <c r="Y102" s="49"/>
      <c r="Z102" s="49"/>
      <c r="AA102" s="49"/>
      <c r="AB102" s="50"/>
      <c r="AC102" s="458"/>
      <c r="AD102" s="49"/>
      <c r="AE102" s="49"/>
      <c r="AF102" s="49"/>
      <c r="AG102" s="49"/>
      <c r="AH102" s="49"/>
      <c r="AI102" s="50"/>
      <c r="AJ102" s="458"/>
      <c r="AK102" s="49"/>
      <c r="AL102" s="49"/>
      <c r="AM102" s="49"/>
      <c r="AN102" s="49"/>
      <c r="AO102" s="49"/>
      <c r="AP102" s="50"/>
      <c r="AQ102" s="59"/>
      <c r="AS102" s="60"/>
      <c r="AT102" s="59"/>
      <c r="AY102" s="60"/>
      <c r="AZ102" s="457"/>
      <c r="BA102" s="49"/>
      <c r="BB102" s="49"/>
      <c r="BC102" s="49"/>
      <c r="BD102" s="49"/>
      <c r="BE102" s="49"/>
      <c r="BF102" s="50"/>
      <c r="BG102" s="457"/>
      <c r="BH102" s="49"/>
      <c r="BI102" s="49"/>
      <c r="BJ102" s="49"/>
      <c r="BK102" s="49"/>
      <c r="BL102" s="49"/>
      <c r="BM102" s="50"/>
      <c r="BN102" s="454"/>
      <c r="BO102" s="49"/>
      <c r="BP102" s="49"/>
      <c r="BQ102" s="49"/>
      <c r="BR102" s="49"/>
      <c r="BS102" s="49"/>
      <c r="BT102" s="50"/>
      <c r="BU102" s="454"/>
      <c r="BV102" s="49"/>
      <c r="BW102" s="49"/>
      <c r="BX102" s="49"/>
      <c r="BY102" s="49"/>
      <c r="BZ102" s="49"/>
      <c r="CA102" s="50"/>
      <c r="CB102" s="454"/>
      <c r="CC102" s="49"/>
      <c r="CD102" s="49"/>
      <c r="CE102" s="49"/>
      <c r="CF102" s="49"/>
      <c r="CG102" s="49"/>
      <c r="CH102" s="50"/>
      <c r="CI102" s="454"/>
      <c r="CJ102" s="49"/>
      <c r="CK102" s="49"/>
      <c r="CL102" s="49"/>
      <c r="CM102" s="49"/>
      <c r="CN102" s="49"/>
      <c r="CO102" s="50"/>
      <c r="CP102" s="455"/>
      <c r="CQ102" s="49"/>
      <c r="CR102" s="49"/>
      <c r="CS102" s="49"/>
      <c r="CT102" s="49"/>
      <c r="CU102" s="49"/>
      <c r="CV102" s="50"/>
      <c r="CW102" s="454"/>
      <c r="CX102" s="49"/>
      <c r="CY102" s="49"/>
      <c r="CZ102" s="49"/>
      <c r="DA102" s="49"/>
      <c r="DB102" s="49"/>
      <c r="DC102" s="50"/>
      <c r="DD102" s="455"/>
      <c r="DE102" s="49"/>
      <c r="DF102" s="49"/>
      <c r="DG102" s="49"/>
      <c r="DH102" s="49"/>
      <c r="DI102" s="49"/>
      <c r="DJ102" s="50"/>
      <c r="DK102" s="53"/>
      <c r="DL102" s="43"/>
      <c r="DM102" s="43"/>
      <c r="DN102" s="43"/>
      <c r="DO102" s="43"/>
      <c r="DP102" s="43"/>
      <c r="DQ102" s="43"/>
      <c r="DR102" s="43"/>
      <c r="DS102" s="43"/>
      <c r="DT102" s="43"/>
      <c r="DU102" s="43"/>
      <c r="DV102" s="43"/>
      <c r="DW102" s="43"/>
      <c r="DX102" s="43"/>
      <c r="DY102" s="43"/>
      <c r="DZ102" s="43"/>
      <c r="EA102" s="43"/>
      <c r="EB102" s="43"/>
      <c r="EC102" s="43"/>
      <c r="ED102" s="43"/>
      <c r="EE102" s="43"/>
      <c r="EF102" s="43"/>
      <c r="EG102" s="43"/>
      <c r="EH102" s="43"/>
      <c r="EI102" s="43"/>
      <c r="EJ102" s="43"/>
      <c r="EK102" s="43"/>
      <c r="EL102" s="43"/>
      <c r="EM102" s="43"/>
      <c r="EN102" s="43"/>
      <c r="EO102" s="43"/>
      <c r="EP102" s="43"/>
      <c r="EQ102" s="43"/>
      <c r="ER102" s="43"/>
      <c r="ES102" s="43"/>
      <c r="ET102" s="43"/>
      <c r="EU102" s="43"/>
      <c r="EV102" s="43"/>
      <c r="EW102" s="43"/>
      <c r="EX102" s="43"/>
      <c r="EY102" s="43"/>
      <c r="EZ102" s="43"/>
      <c r="FA102" s="43"/>
      <c r="FB102" s="43"/>
      <c r="FC102" s="43"/>
      <c r="FD102" s="43"/>
      <c r="FE102" s="43"/>
      <c r="FF102" s="43"/>
      <c r="FG102" s="43"/>
      <c r="FH102" s="43"/>
      <c r="FI102" s="43"/>
      <c r="FJ102" s="43"/>
      <c r="FK102" s="43"/>
      <c r="FL102" s="43"/>
      <c r="FM102" s="43"/>
      <c r="FN102" s="43"/>
      <c r="FO102" s="43"/>
      <c r="FP102" s="43"/>
      <c r="FQ102" s="43"/>
      <c r="FR102" s="43"/>
      <c r="FS102" s="43"/>
      <c r="FT102" s="43"/>
      <c r="FU102" s="43"/>
      <c r="FV102" s="43"/>
      <c r="FW102" s="43"/>
      <c r="FX102" s="43"/>
      <c r="FY102" s="43"/>
      <c r="FZ102" s="43"/>
      <c r="GA102" s="43"/>
      <c r="GB102" s="43"/>
      <c r="GC102" s="43"/>
      <c r="GD102" s="43"/>
      <c r="GE102" s="43"/>
      <c r="GF102" s="43"/>
      <c r="GG102" s="43"/>
      <c r="GH102" s="43"/>
      <c r="GI102" s="43"/>
      <c r="GJ102" s="43"/>
      <c r="GK102" s="43"/>
      <c r="GL102" s="43"/>
      <c r="GM102" s="43"/>
      <c r="GN102" s="43"/>
      <c r="GO102" s="43"/>
      <c r="GP102" s="43"/>
      <c r="GQ102" s="43"/>
      <c r="GR102" s="43"/>
      <c r="GS102" s="43"/>
      <c r="GT102" s="43"/>
      <c r="GU102" s="43"/>
      <c r="GV102" s="43"/>
      <c r="GW102" s="43"/>
    </row>
    <row r="103" ht="15.0" customHeight="1">
      <c r="A103" s="318"/>
      <c r="B103" s="59"/>
      <c r="G103" s="60"/>
      <c r="H103" s="70"/>
      <c r="I103" s="57"/>
      <c r="J103" s="57"/>
      <c r="K103" s="57"/>
      <c r="L103" s="57"/>
      <c r="M103" s="57"/>
      <c r="N103" s="58"/>
      <c r="O103" s="70"/>
      <c r="P103" s="57"/>
      <c r="Q103" s="57"/>
      <c r="R103" s="57"/>
      <c r="S103" s="57"/>
      <c r="T103" s="57"/>
      <c r="U103" s="58"/>
      <c r="V103" s="70"/>
      <c r="W103" s="57"/>
      <c r="X103" s="57"/>
      <c r="Y103" s="57"/>
      <c r="Z103" s="57"/>
      <c r="AA103" s="57"/>
      <c r="AB103" s="58"/>
      <c r="AC103" s="70"/>
      <c r="AD103" s="57"/>
      <c r="AE103" s="57"/>
      <c r="AF103" s="57"/>
      <c r="AG103" s="57"/>
      <c r="AH103" s="57"/>
      <c r="AI103" s="58"/>
      <c r="AJ103" s="70"/>
      <c r="AK103" s="57"/>
      <c r="AL103" s="57"/>
      <c r="AM103" s="57"/>
      <c r="AN103" s="57"/>
      <c r="AO103" s="57"/>
      <c r="AP103" s="58"/>
      <c r="AQ103" s="59"/>
      <c r="AS103" s="60"/>
      <c r="AT103" s="59"/>
      <c r="AY103" s="60"/>
      <c r="AZ103" s="70"/>
      <c r="BA103" s="57"/>
      <c r="BB103" s="57"/>
      <c r="BC103" s="57"/>
      <c r="BD103" s="57"/>
      <c r="BE103" s="57"/>
      <c r="BF103" s="58"/>
      <c r="BG103" s="70"/>
      <c r="BH103" s="57"/>
      <c r="BI103" s="57"/>
      <c r="BJ103" s="57"/>
      <c r="BK103" s="57"/>
      <c r="BL103" s="57"/>
      <c r="BM103" s="58"/>
      <c r="BN103" s="70"/>
      <c r="BO103" s="57"/>
      <c r="BP103" s="57"/>
      <c r="BQ103" s="57"/>
      <c r="BR103" s="57"/>
      <c r="BS103" s="57"/>
      <c r="BT103" s="58"/>
      <c r="BU103" s="70"/>
      <c r="BV103" s="57"/>
      <c r="BW103" s="57"/>
      <c r="BX103" s="57"/>
      <c r="BY103" s="57"/>
      <c r="BZ103" s="57"/>
      <c r="CA103" s="58"/>
      <c r="CB103" s="70"/>
      <c r="CC103" s="57"/>
      <c r="CD103" s="57"/>
      <c r="CE103" s="57"/>
      <c r="CF103" s="57"/>
      <c r="CG103" s="57"/>
      <c r="CH103" s="58"/>
      <c r="CI103" s="70"/>
      <c r="CJ103" s="57"/>
      <c r="CK103" s="57"/>
      <c r="CL103" s="57"/>
      <c r="CM103" s="57"/>
      <c r="CN103" s="57"/>
      <c r="CO103" s="58"/>
      <c r="CP103" s="70"/>
      <c r="CQ103" s="57"/>
      <c r="CR103" s="57"/>
      <c r="CS103" s="57"/>
      <c r="CT103" s="57"/>
      <c r="CU103" s="57"/>
      <c r="CV103" s="58"/>
      <c r="CW103" s="70"/>
      <c r="CX103" s="57"/>
      <c r="CY103" s="57"/>
      <c r="CZ103" s="57"/>
      <c r="DA103" s="57"/>
      <c r="DB103" s="57"/>
      <c r="DC103" s="58"/>
      <c r="DD103" s="70"/>
      <c r="DE103" s="57"/>
      <c r="DF103" s="57"/>
      <c r="DG103" s="57"/>
      <c r="DH103" s="57"/>
      <c r="DI103" s="57"/>
      <c r="DJ103" s="58"/>
      <c r="DK103" s="53"/>
      <c r="DL103" s="43"/>
      <c r="DM103" s="43"/>
      <c r="DN103" s="43"/>
      <c r="DO103" s="43"/>
      <c r="DP103" s="43"/>
      <c r="DQ103" s="43"/>
      <c r="DR103" s="43"/>
      <c r="DS103" s="43"/>
      <c r="DT103" s="43"/>
      <c r="DU103" s="43"/>
      <c r="DV103" s="43"/>
      <c r="DW103" s="43"/>
      <c r="DX103" s="43"/>
      <c r="DY103" s="43"/>
      <c r="DZ103" s="43"/>
      <c r="EA103" s="43"/>
      <c r="EB103" s="43"/>
      <c r="EC103" s="43"/>
      <c r="ED103" s="43"/>
      <c r="EE103" s="43"/>
      <c r="EF103" s="43"/>
      <c r="EG103" s="43"/>
      <c r="EH103" s="43"/>
      <c r="EI103" s="43"/>
      <c r="EJ103" s="43"/>
      <c r="EK103" s="43"/>
      <c r="EL103" s="43"/>
      <c r="EM103" s="43"/>
      <c r="EN103" s="43"/>
      <c r="EO103" s="43"/>
      <c r="EP103" s="43"/>
      <c r="EQ103" s="43"/>
      <c r="ER103" s="43"/>
      <c r="ES103" s="43"/>
      <c r="ET103" s="43"/>
      <c r="EU103" s="43"/>
      <c r="EV103" s="43"/>
      <c r="EW103" s="43"/>
      <c r="EX103" s="43"/>
      <c r="EY103" s="43"/>
      <c r="EZ103" s="43"/>
      <c r="FA103" s="43"/>
      <c r="FB103" s="43"/>
      <c r="FC103" s="43"/>
      <c r="FD103" s="43"/>
      <c r="FE103" s="43"/>
      <c r="FF103" s="43"/>
      <c r="FG103" s="43"/>
      <c r="FH103" s="43"/>
      <c r="FI103" s="43"/>
      <c r="FJ103" s="43"/>
      <c r="FK103" s="43"/>
      <c r="FL103" s="43"/>
      <c r="FM103" s="43"/>
      <c r="FN103" s="43"/>
      <c r="FO103" s="43"/>
      <c r="FP103" s="43"/>
      <c r="FQ103" s="43"/>
      <c r="FR103" s="43"/>
      <c r="FS103" s="43"/>
      <c r="FT103" s="43"/>
      <c r="FU103" s="43"/>
      <c r="FV103" s="43"/>
      <c r="FW103" s="43"/>
      <c r="FX103" s="43"/>
      <c r="FY103" s="43"/>
      <c r="FZ103" s="43"/>
      <c r="GA103" s="43"/>
      <c r="GB103" s="43"/>
      <c r="GC103" s="43"/>
      <c r="GD103" s="43"/>
      <c r="GE103" s="43"/>
      <c r="GF103" s="43"/>
      <c r="GG103" s="43"/>
      <c r="GH103" s="43"/>
      <c r="GI103" s="43"/>
      <c r="GJ103" s="43"/>
      <c r="GK103" s="43"/>
      <c r="GL103" s="43"/>
      <c r="GM103" s="43"/>
      <c r="GN103" s="43"/>
      <c r="GO103" s="43"/>
      <c r="GP103" s="43"/>
      <c r="GQ103" s="43"/>
      <c r="GR103" s="43"/>
      <c r="GS103" s="43"/>
      <c r="GT103" s="43"/>
      <c r="GU103" s="43"/>
      <c r="GV103" s="43"/>
      <c r="GW103" s="43"/>
    </row>
    <row r="104" ht="15.0" customHeight="1">
      <c r="A104" s="318"/>
      <c r="B104" s="59"/>
      <c r="G104" s="60"/>
      <c r="H104" s="459"/>
      <c r="I104" s="49"/>
      <c r="J104" s="49"/>
      <c r="K104" s="49"/>
      <c r="L104" s="49"/>
      <c r="M104" s="49"/>
      <c r="N104" s="50"/>
      <c r="O104" s="459"/>
      <c r="P104" s="49"/>
      <c r="Q104" s="49"/>
      <c r="R104" s="49"/>
      <c r="S104" s="49"/>
      <c r="T104" s="49"/>
      <c r="U104" s="50"/>
      <c r="V104" s="459"/>
      <c r="W104" s="49"/>
      <c r="X104" s="49"/>
      <c r="Y104" s="49"/>
      <c r="Z104" s="49"/>
      <c r="AA104" s="49"/>
      <c r="AB104" s="50"/>
      <c r="AC104" s="459"/>
      <c r="AD104" s="49"/>
      <c r="AE104" s="49"/>
      <c r="AF104" s="49"/>
      <c r="AG104" s="49"/>
      <c r="AH104" s="49"/>
      <c r="AI104" s="50"/>
      <c r="AJ104" s="459"/>
      <c r="AK104" s="49"/>
      <c r="AL104" s="49"/>
      <c r="AM104" s="49"/>
      <c r="AN104" s="49"/>
      <c r="AO104" s="49"/>
      <c r="AP104" s="50"/>
      <c r="AQ104" s="59"/>
      <c r="AS104" s="60"/>
      <c r="AT104" s="59"/>
      <c r="AY104" s="60"/>
      <c r="AZ104" s="456"/>
      <c r="BA104" s="49"/>
      <c r="BB104" s="49"/>
      <c r="BC104" s="49"/>
      <c r="BD104" s="49"/>
      <c r="BE104" s="49"/>
      <c r="BF104" s="50"/>
      <c r="BG104" s="456"/>
      <c r="BH104" s="49"/>
      <c r="BI104" s="49"/>
      <c r="BJ104" s="49"/>
      <c r="BK104" s="49"/>
      <c r="BL104" s="49"/>
      <c r="BM104" s="50"/>
      <c r="BN104" s="449"/>
      <c r="BO104" s="49"/>
      <c r="BP104" s="49"/>
      <c r="BQ104" s="49"/>
      <c r="BR104" s="49"/>
      <c r="BS104" s="49"/>
      <c r="BT104" s="50"/>
      <c r="BU104" s="449"/>
      <c r="BV104" s="49"/>
      <c r="BW104" s="49"/>
      <c r="BX104" s="49"/>
      <c r="BY104" s="49"/>
      <c r="BZ104" s="49"/>
      <c r="CA104" s="50"/>
      <c r="CB104" s="449"/>
      <c r="CC104" s="49"/>
      <c r="CD104" s="49"/>
      <c r="CE104" s="49"/>
      <c r="CF104" s="49"/>
      <c r="CG104" s="49"/>
      <c r="CH104" s="50"/>
      <c r="CI104" s="449"/>
      <c r="CJ104" s="49"/>
      <c r="CK104" s="49"/>
      <c r="CL104" s="49"/>
      <c r="CM104" s="49"/>
      <c r="CN104" s="49"/>
      <c r="CO104" s="50"/>
      <c r="CP104" s="450"/>
      <c r="CQ104" s="49"/>
      <c r="CR104" s="49"/>
      <c r="CS104" s="49"/>
      <c r="CT104" s="49"/>
      <c r="CU104" s="49"/>
      <c r="CV104" s="50"/>
      <c r="CW104" s="449"/>
      <c r="CX104" s="49"/>
      <c r="CY104" s="49"/>
      <c r="CZ104" s="49"/>
      <c r="DA104" s="49"/>
      <c r="DB104" s="49"/>
      <c r="DC104" s="50"/>
      <c r="DD104" s="450"/>
      <c r="DE104" s="49"/>
      <c r="DF104" s="49"/>
      <c r="DG104" s="49"/>
      <c r="DH104" s="49"/>
      <c r="DI104" s="49"/>
      <c r="DJ104" s="50"/>
      <c r="DK104" s="53"/>
      <c r="DL104" s="43"/>
      <c r="DM104" s="43"/>
      <c r="DN104" s="43"/>
      <c r="DO104" s="43"/>
      <c r="DP104" s="43"/>
      <c r="DQ104" s="43"/>
      <c r="DR104" s="43"/>
      <c r="DS104" s="43"/>
      <c r="DT104" s="43"/>
      <c r="DU104" s="43"/>
      <c r="DV104" s="43"/>
      <c r="DW104" s="43"/>
      <c r="DX104" s="43"/>
      <c r="DY104" s="43"/>
      <c r="DZ104" s="43"/>
      <c r="EA104" s="43"/>
      <c r="EB104" s="43"/>
      <c r="EC104" s="43"/>
      <c r="ED104" s="43"/>
      <c r="EE104" s="43"/>
      <c r="EF104" s="43"/>
      <c r="EG104" s="43"/>
      <c r="EH104" s="43"/>
      <c r="EI104" s="43"/>
      <c r="EJ104" s="43"/>
      <c r="EK104" s="43"/>
      <c r="EL104" s="43"/>
      <c r="EM104" s="43"/>
      <c r="EN104" s="43"/>
      <c r="EO104" s="43"/>
      <c r="EP104" s="43"/>
      <c r="EQ104" s="43"/>
      <c r="ER104" s="43"/>
      <c r="ES104" s="43"/>
      <c r="ET104" s="43"/>
      <c r="EU104" s="43"/>
      <c r="EV104" s="43"/>
      <c r="EW104" s="43"/>
      <c r="EX104" s="43"/>
      <c r="EY104" s="43"/>
      <c r="EZ104" s="43"/>
      <c r="FA104" s="43"/>
      <c r="FB104" s="43"/>
      <c r="FC104" s="43"/>
      <c r="FD104" s="43"/>
      <c r="FE104" s="43"/>
      <c r="FF104" s="43"/>
      <c r="FG104" s="43"/>
      <c r="FH104" s="43"/>
      <c r="FI104" s="43"/>
      <c r="FJ104" s="43"/>
      <c r="FK104" s="43"/>
      <c r="FL104" s="43"/>
      <c r="FM104" s="43"/>
      <c r="FN104" s="43"/>
      <c r="FO104" s="43"/>
      <c r="FP104" s="43"/>
      <c r="FQ104" s="43"/>
      <c r="FR104" s="43"/>
      <c r="FS104" s="43"/>
      <c r="FT104" s="43"/>
      <c r="FU104" s="43"/>
      <c r="FV104" s="43"/>
      <c r="FW104" s="43"/>
      <c r="FX104" s="43"/>
      <c r="FY104" s="43"/>
      <c r="FZ104" s="43"/>
      <c r="GA104" s="43"/>
      <c r="GB104" s="43"/>
      <c r="GC104" s="43"/>
      <c r="GD104" s="43"/>
      <c r="GE104" s="43"/>
      <c r="GF104" s="43"/>
      <c r="GG104" s="43"/>
      <c r="GH104" s="43"/>
      <c r="GI104" s="43"/>
      <c r="GJ104" s="43"/>
      <c r="GK104" s="43"/>
      <c r="GL104" s="43"/>
      <c r="GM104" s="43"/>
      <c r="GN104" s="43"/>
      <c r="GO104" s="43"/>
      <c r="GP104" s="43"/>
      <c r="GQ104" s="43"/>
      <c r="GR104" s="43"/>
      <c r="GS104" s="43"/>
      <c r="GT104" s="43"/>
      <c r="GU104" s="43"/>
      <c r="GV104" s="43"/>
      <c r="GW104" s="43"/>
    </row>
    <row r="105" ht="15.0" customHeight="1">
      <c r="A105" s="318"/>
      <c r="B105" s="59"/>
      <c r="G105" s="60"/>
      <c r="H105" s="70"/>
      <c r="I105" s="57"/>
      <c r="J105" s="57"/>
      <c r="K105" s="57"/>
      <c r="L105" s="57"/>
      <c r="M105" s="57"/>
      <c r="N105" s="58"/>
      <c r="O105" s="70"/>
      <c r="P105" s="57"/>
      <c r="Q105" s="57"/>
      <c r="R105" s="57"/>
      <c r="S105" s="57"/>
      <c r="T105" s="57"/>
      <c r="U105" s="58"/>
      <c r="V105" s="70"/>
      <c r="W105" s="57"/>
      <c r="X105" s="57"/>
      <c r="Y105" s="57"/>
      <c r="Z105" s="57"/>
      <c r="AA105" s="57"/>
      <c r="AB105" s="58"/>
      <c r="AC105" s="70"/>
      <c r="AD105" s="57"/>
      <c r="AE105" s="57"/>
      <c r="AF105" s="57"/>
      <c r="AG105" s="57"/>
      <c r="AH105" s="57"/>
      <c r="AI105" s="58"/>
      <c r="AJ105" s="70"/>
      <c r="AK105" s="57"/>
      <c r="AL105" s="57"/>
      <c r="AM105" s="57"/>
      <c r="AN105" s="57"/>
      <c r="AO105" s="57"/>
      <c r="AP105" s="58"/>
      <c r="AQ105" s="59"/>
      <c r="AS105" s="60"/>
      <c r="AT105" s="59"/>
      <c r="AY105" s="60"/>
      <c r="AZ105" s="70"/>
      <c r="BA105" s="57"/>
      <c r="BB105" s="57"/>
      <c r="BC105" s="57"/>
      <c r="BD105" s="57"/>
      <c r="BE105" s="57"/>
      <c r="BF105" s="58"/>
      <c r="BG105" s="70"/>
      <c r="BH105" s="57"/>
      <c r="BI105" s="57"/>
      <c r="BJ105" s="57"/>
      <c r="BK105" s="57"/>
      <c r="BL105" s="57"/>
      <c r="BM105" s="58"/>
      <c r="BN105" s="70"/>
      <c r="BO105" s="57"/>
      <c r="BP105" s="57"/>
      <c r="BQ105" s="57"/>
      <c r="BR105" s="57"/>
      <c r="BS105" s="57"/>
      <c r="BT105" s="58"/>
      <c r="BU105" s="70"/>
      <c r="BV105" s="57"/>
      <c r="BW105" s="57"/>
      <c r="BX105" s="57"/>
      <c r="BY105" s="57"/>
      <c r="BZ105" s="57"/>
      <c r="CA105" s="58"/>
      <c r="CB105" s="70"/>
      <c r="CC105" s="57"/>
      <c r="CD105" s="57"/>
      <c r="CE105" s="57"/>
      <c r="CF105" s="57"/>
      <c r="CG105" s="57"/>
      <c r="CH105" s="58"/>
      <c r="CI105" s="70"/>
      <c r="CJ105" s="57"/>
      <c r="CK105" s="57"/>
      <c r="CL105" s="57"/>
      <c r="CM105" s="57"/>
      <c r="CN105" s="57"/>
      <c r="CO105" s="58"/>
      <c r="CP105" s="70"/>
      <c r="CQ105" s="57"/>
      <c r="CR105" s="57"/>
      <c r="CS105" s="57"/>
      <c r="CT105" s="57"/>
      <c r="CU105" s="57"/>
      <c r="CV105" s="58"/>
      <c r="CW105" s="70"/>
      <c r="CX105" s="57"/>
      <c r="CY105" s="57"/>
      <c r="CZ105" s="57"/>
      <c r="DA105" s="57"/>
      <c r="DB105" s="57"/>
      <c r="DC105" s="58"/>
      <c r="DD105" s="70"/>
      <c r="DE105" s="57"/>
      <c r="DF105" s="57"/>
      <c r="DG105" s="57"/>
      <c r="DH105" s="57"/>
      <c r="DI105" s="57"/>
      <c r="DJ105" s="58"/>
      <c r="DK105" s="53"/>
      <c r="DL105" s="43"/>
      <c r="DM105" s="43"/>
      <c r="DN105" s="43"/>
      <c r="DO105" s="43"/>
      <c r="DP105" s="43"/>
      <c r="DQ105" s="43"/>
      <c r="DR105" s="43"/>
      <c r="DS105" s="43"/>
      <c r="DT105" s="43"/>
      <c r="DU105" s="43"/>
      <c r="DV105" s="43"/>
      <c r="DW105" s="43"/>
      <c r="DX105" s="43"/>
      <c r="DY105" s="43"/>
      <c r="DZ105" s="43"/>
      <c r="EA105" s="43"/>
      <c r="EB105" s="43"/>
      <c r="EC105" s="43"/>
      <c r="ED105" s="43"/>
      <c r="EE105" s="43"/>
      <c r="EF105" s="43"/>
      <c r="EG105" s="43"/>
      <c r="EH105" s="43"/>
      <c r="EI105" s="43"/>
      <c r="EJ105" s="43"/>
      <c r="EK105" s="43"/>
      <c r="EL105" s="43"/>
      <c r="EM105" s="43"/>
      <c r="EN105" s="43"/>
      <c r="EO105" s="43"/>
      <c r="EP105" s="43"/>
      <c r="EQ105" s="43"/>
      <c r="ER105" s="43"/>
      <c r="ES105" s="43"/>
      <c r="ET105" s="43"/>
      <c r="EU105" s="43"/>
      <c r="EV105" s="43"/>
      <c r="EW105" s="43"/>
      <c r="EX105" s="43"/>
      <c r="EY105" s="43"/>
      <c r="EZ105" s="43"/>
      <c r="FA105" s="43"/>
      <c r="FB105" s="43"/>
      <c r="FC105" s="43"/>
      <c r="FD105" s="43"/>
      <c r="FE105" s="43"/>
      <c r="FF105" s="43"/>
      <c r="FG105" s="43"/>
      <c r="FH105" s="43"/>
      <c r="FI105" s="43"/>
      <c r="FJ105" s="43"/>
      <c r="FK105" s="43"/>
      <c r="FL105" s="43"/>
      <c r="FM105" s="43"/>
      <c r="FN105" s="43"/>
      <c r="FO105" s="43"/>
      <c r="FP105" s="43"/>
      <c r="FQ105" s="43"/>
      <c r="FR105" s="43"/>
      <c r="FS105" s="43"/>
      <c r="FT105" s="43"/>
      <c r="FU105" s="43"/>
      <c r="FV105" s="43"/>
      <c r="FW105" s="43"/>
      <c r="FX105" s="43"/>
      <c r="FY105" s="43"/>
      <c r="FZ105" s="43"/>
      <c r="GA105" s="43"/>
      <c r="GB105" s="43"/>
      <c r="GC105" s="43"/>
      <c r="GD105" s="43"/>
      <c r="GE105" s="43"/>
      <c r="GF105" s="43"/>
      <c r="GG105" s="43"/>
      <c r="GH105" s="43"/>
      <c r="GI105" s="43"/>
      <c r="GJ105" s="43"/>
      <c r="GK105" s="43"/>
      <c r="GL105" s="43"/>
      <c r="GM105" s="43"/>
      <c r="GN105" s="43"/>
      <c r="GO105" s="43"/>
      <c r="GP105" s="43"/>
      <c r="GQ105" s="43"/>
      <c r="GR105" s="43"/>
      <c r="GS105" s="43"/>
      <c r="GT105" s="43"/>
      <c r="GU105" s="43"/>
      <c r="GV105" s="43"/>
      <c r="GW105" s="43"/>
    </row>
    <row r="106" ht="15.0" customHeight="1">
      <c r="A106" s="318"/>
      <c r="B106" s="59"/>
      <c r="G106" s="60"/>
      <c r="H106" s="458"/>
      <c r="I106" s="49"/>
      <c r="J106" s="49"/>
      <c r="K106" s="49"/>
      <c r="L106" s="49"/>
      <c r="M106" s="49"/>
      <c r="N106" s="50"/>
      <c r="O106" s="458"/>
      <c r="P106" s="49"/>
      <c r="Q106" s="49"/>
      <c r="R106" s="49"/>
      <c r="S106" s="49"/>
      <c r="T106" s="49"/>
      <c r="U106" s="50"/>
      <c r="V106" s="458"/>
      <c r="W106" s="49"/>
      <c r="X106" s="49"/>
      <c r="Y106" s="49"/>
      <c r="Z106" s="49"/>
      <c r="AA106" s="49"/>
      <c r="AB106" s="50"/>
      <c r="AC106" s="458"/>
      <c r="AD106" s="49"/>
      <c r="AE106" s="49"/>
      <c r="AF106" s="49"/>
      <c r="AG106" s="49"/>
      <c r="AH106" s="49"/>
      <c r="AI106" s="50"/>
      <c r="AJ106" s="458"/>
      <c r="AK106" s="49"/>
      <c r="AL106" s="49"/>
      <c r="AM106" s="49"/>
      <c r="AN106" s="49"/>
      <c r="AO106" s="49"/>
      <c r="AP106" s="50"/>
      <c r="AQ106" s="59"/>
      <c r="AS106" s="60"/>
      <c r="AT106" s="59"/>
      <c r="AY106" s="60"/>
      <c r="AZ106" s="457"/>
      <c r="BA106" s="49"/>
      <c r="BB106" s="49"/>
      <c r="BC106" s="49"/>
      <c r="BD106" s="49"/>
      <c r="BE106" s="49"/>
      <c r="BF106" s="50"/>
      <c r="BG106" s="457"/>
      <c r="BH106" s="49"/>
      <c r="BI106" s="49"/>
      <c r="BJ106" s="49"/>
      <c r="BK106" s="49"/>
      <c r="BL106" s="49"/>
      <c r="BM106" s="50"/>
      <c r="BN106" s="454"/>
      <c r="BO106" s="49"/>
      <c r="BP106" s="49"/>
      <c r="BQ106" s="49"/>
      <c r="BR106" s="49"/>
      <c r="BS106" s="49"/>
      <c r="BT106" s="50"/>
      <c r="BU106" s="454"/>
      <c r="BV106" s="49"/>
      <c r="BW106" s="49"/>
      <c r="BX106" s="49"/>
      <c r="BY106" s="49"/>
      <c r="BZ106" s="49"/>
      <c r="CA106" s="50"/>
      <c r="CB106" s="454"/>
      <c r="CC106" s="49"/>
      <c r="CD106" s="49"/>
      <c r="CE106" s="49"/>
      <c r="CF106" s="49"/>
      <c r="CG106" s="49"/>
      <c r="CH106" s="50"/>
      <c r="CI106" s="454"/>
      <c r="CJ106" s="49"/>
      <c r="CK106" s="49"/>
      <c r="CL106" s="49"/>
      <c r="CM106" s="49"/>
      <c r="CN106" s="49"/>
      <c r="CO106" s="50"/>
      <c r="CP106" s="455"/>
      <c r="CQ106" s="49"/>
      <c r="CR106" s="49"/>
      <c r="CS106" s="49"/>
      <c r="CT106" s="49"/>
      <c r="CU106" s="49"/>
      <c r="CV106" s="50"/>
      <c r="CW106" s="454"/>
      <c r="CX106" s="49"/>
      <c r="CY106" s="49"/>
      <c r="CZ106" s="49"/>
      <c r="DA106" s="49"/>
      <c r="DB106" s="49"/>
      <c r="DC106" s="50"/>
      <c r="DD106" s="455"/>
      <c r="DE106" s="49"/>
      <c r="DF106" s="49"/>
      <c r="DG106" s="49"/>
      <c r="DH106" s="49"/>
      <c r="DI106" s="49"/>
      <c r="DJ106" s="50"/>
      <c r="DK106" s="53"/>
      <c r="DL106" s="43"/>
      <c r="DM106" s="43"/>
      <c r="DN106" s="43"/>
      <c r="DO106" s="43"/>
      <c r="DP106" s="43"/>
      <c r="DQ106" s="43"/>
      <c r="DR106" s="43"/>
      <c r="DS106" s="43"/>
      <c r="DT106" s="43"/>
      <c r="DU106" s="43"/>
      <c r="DV106" s="43"/>
      <c r="DW106" s="43"/>
      <c r="DX106" s="43"/>
      <c r="DY106" s="43"/>
      <c r="DZ106" s="43"/>
      <c r="EA106" s="43"/>
      <c r="EB106" s="43"/>
      <c r="EC106" s="43"/>
      <c r="ED106" s="43"/>
      <c r="EE106" s="43"/>
      <c r="EF106" s="43"/>
      <c r="EG106" s="43"/>
      <c r="EH106" s="43"/>
      <c r="EI106" s="43"/>
      <c r="EJ106" s="43"/>
      <c r="EK106" s="43"/>
      <c r="EL106" s="43"/>
      <c r="EM106" s="43"/>
      <c r="EN106" s="43"/>
      <c r="EO106" s="43"/>
      <c r="EP106" s="43"/>
      <c r="EQ106" s="43"/>
      <c r="ER106" s="43"/>
      <c r="ES106" s="43"/>
      <c r="ET106" s="43"/>
      <c r="EU106" s="43"/>
      <c r="EV106" s="43"/>
      <c r="EW106" s="43"/>
      <c r="EX106" s="43"/>
      <c r="EY106" s="43"/>
      <c r="EZ106" s="43"/>
      <c r="FA106" s="43"/>
      <c r="FB106" s="43"/>
      <c r="FC106" s="43"/>
      <c r="FD106" s="43"/>
      <c r="FE106" s="43"/>
      <c r="FF106" s="43"/>
      <c r="FG106" s="43"/>
      <c r="FH106" s="43"/>
      <c r="FI106" s="43"/>
      <c r="FJ106" s="43"/>
      <c r="FK106" s="43"/>
      <c r="FL106" s="43"/>
      <c r="FM106" s="43"/>
      <c r="FN106" s="43"/>
      <c r="FO106" s="43"/>
      <c r="FP106" s="43"/>
      <c r="FQ106" s="43"/>
      <c r="FR106" s="43"/>
      <c r="FS106" s="43"/>
      <c r="FT106" s="43"/>
      <c r="FU106" s="43"/>
      <c r="FV106" s="43"/>
      <c r="FW106" s="43"/>
      <c r="FX106" s="43"/>
      <c r="FY106" s="43"/>
      <c r="FZ106" s="43"/>
      <c r="GA106" s="43"/>
      <c r="GB106" s="43"/>
      <c r="GC106" s="43"/>
      <c r="GD106" s="43"/>
      <c r="GE106" s="43"/>
      <c r="GF106" s="43"/>
      <c r="GG106" s="43"/>
      <c r="GH106" s="43"/>
      <c r="GI106" s="43"/>
      <c r="GJ106" s="43"/>
      <c r="GK106" s="43"/>
      <c r="GL106" s="43"/>
      <c r="GM106" s="43"/>
      <c r="GN106" s="43"/>
      <c r="GO106" s="43"/>
      <c r="GP106" s="43"/>
      <c r="GQ106" s="43"/>
      <c r="GR106" s="43"/>
      <c r="GS106" s="43"/>
      <c r="GT106" s="43"/>
      <c r="GU106" s="43"/>
      <c r="GV106" s="43"/>
      <c r="GW106" s="43"/>
    </row>
    <row r="107" ht="15.0" customHeight="1">
      <c r="A107" s="318"/>
      <c r="B107" s="70"/>
      <c r="C107" s="57"/>
      <c r="D107" s="57"/>
      <c r="E107" s="57"/>
      <c r="F107" s="57"/>
      <c r="G107" s="58"/>
      <c r="H107" s="70"/>
      <c r="I107" s="57"/>
      <c r="J107" s="57"/>
      <c r="K107" s="57"/>
      <c r="L107" s="57"/>
      <c r="M107" s="57"/>
      <c r="N107" s="58"/>
      <c r="O107" s="70"/>
      <c r="P107" s="57"/>
      <c r="Q107" s="57"/>
      <c r="R107" s="57"/>
      <c r="S107" s="57"/>
      <c r="T107" s="57"/>
      <c r="U107" s="58"/>
      <c r="V107" s="70"/>
      <c r="W107" s="57"/>
      <c r="X107" s="57"/>
      <c r="Y107" s="57"/>
      <c r="Z107" s="57"/>
      <c r="AA107" s="57"/>
      <c r="AB107" s="58"/>
      <c r="AC107" s="70"/>
      <c r="AD107" s="57"/>
      <c r="AE107" s="57"/>
      <c r="AF107" s="57"/>
      <c r="AG107" s="57"/>
      <c r="AH107" s="57"/>
      <c r="AI107" s="58"/>
      <c r="AJ107" s="70"/>
      <c r="AK107" s="57"/>
      <c r="AL107" s="57"/>
      <c r="AM107" s="57"/>
      <c r="AN107" s="57"/>
      <c r="AO107" s="57"/>
      <c r="AP107" s="58"/>
      <c r="AQ107" s="70"/>
      <c r="AR107" s="57"/>
      <c r="AS107" s="58"/>
      <c r="AT107" s="70"/>
      <c r="AU107" s="57"/>
      <c r="AV107" s="57"/>
      <c r="AW107" s="57"/>
      <c r="AX107" s="57"/>
      <c r="AY107" s="58"/>
      <c r="AZ107" s="70"/>
      <c r="BA107" s="57"/>
      <c r="BB107" s="57"/>
      <c r="BC107" s="57"/>
      <c r="BD107" s="57"/>
      <c r="BE107" s="57"/>
      <c r="BF107" s="58"/>
      <c r="BG107" s="70"/>
      <c r="BH107" s="57"/>
      <c r="BI107" s="57"/>
      <c r="BJ107" s="57"/>
      <c r="BK107" s="57"/>
      <c r="BL107" s="57"/>
      <c r="BM107" s="58"/>
      <c r="BN107" s="70"/>
      <c r="BO107" s="57"/>
      <c r="BP107" s="57"/>
      <c r="BQ107" s="57"/>
      <c r="BR107" s="57"/>
      <c r="BS107" s="57"/>
      <c r="BT107" s="58"/>
      <c r="BU107" s="70"/>
      <c r="BV107" s="57"/>
      <c r="BW107" s="57"/>
      <c r="BX107" s="57"/>
      <c r="BY107" s="57"/>
      <c r="BZ107" s="57"/>
      <c r="CA107" s="58"/>
      <c r="CB107" s="70"/>
      <c r="CC107" s="57"/>
      <c r="CD107" s="57"/>
      <c r="CE107" s="57"/>
      <c r="CF107" s="57"/>
      <c r="CG107" s="57"/>
      <c r="CH107" s="58"/>
      <c r="CI107" s="70"/>
      <c r="CJ107" s="57"/>
      <c r="CK107" s="57"/>
      <c r="CL107" s="57"/>
      <c r="CM107" s="57"/>
      <c r="CN107" s="57"/>
      <c r="CO107" s="58"/>
      <c r="CP107" s="70"/>
      <c r="CQ107" s="57"/>
      <c r="CR107" s="57"/>
      <c r="CS107" s="57"/>
      <c r="CT107" s="57"/>
      <c r="CU107" s="57"/>
      <c r="CV107" s="58"/>
      <c r="CW107" s="70"/>
      <c r="CX107" s="57"/>
      <c r="CY107" s="57"/>
      <c r="CZ107" s="57"/>
      <c r="DA107" s="57"/>
      <c r="DB107" s="57"/>
      <c r="DC107" s="58"/>
      <c r="DD107" s="70"/>
      <c r="DE107" s="57"/>
      <c r="DF107" s="57"/>
      <c r="DG107" s="57"/>
      <c r="DH107" s="57"/>
      <c r="DI107" s="57"/>
      <c r="DJ107" s="58"/>
      <c r="DK107" s="53"/>
      <c r="DL107" s="43"/>
      <c r="DM107" s="43"/>
      <c r="DN107" s="43"/>
      <c r="DO107" s="43"/>
      <c r="DP107" s="43"/>
      <c r="DQ107" s="43"/>
      <c r="DR107" s="43"/>
      <c r="DS107" s="43"/>
      <c r="DT107" s="43"/>
      <c r="DU107" s="43"/>
      <c r="DV107" s="43"/>
      <c r="DW107" s="43"/>
      <c r="DX107" s="43"/>
      <c r="DY107" s="43"/>
      <c r="DZ107" s="43"/>
      <c r="EA107" s="43"/>
      <c r="EB107" s="43"/>
      <c r="EC107" s="43"/>
      <c r="ED107" s="43"/>
      <c r="EE107" s="43"/>
      <c r="EF107" s="43"/>
      <c r="EG107" s="43"/>
      <c r="EH107" s="43"/>
      <c r="EI107" s="43"/>
      <c r="EJ107" s="43"/>
      <c r="EK107" s="43"/>
      <c r="EL107" s="43"/>
      <c r="EM107" s="43"/>
      <c r="EN107" s="43"/>
      <c r="EO107" s="43"/>
      <c r="EP107" s="43"/>
      <c r="EQ107" s="43"/>
      <c r="ER107" s="43"/>
      <c r="ES107" s="43"/>
      <c r="ET107" s="43"/>
      <c r="EU107" s="43"/>
      <c r="EV107" s="43"/>
      <c r="EW107" s="43"/>
      <c r="EX107" s="43"/>
      <c r="EY107" s="43"/>
      <c r="EZ107" s="43"/>
      <c r="FA107" s="43"/>
      <c r="FB107" s="43"/>
      <c r="FC107" s="43"/>
      <c r="FD107" s="43"/>
      <c r="FE107" s="43"/>
      <c r="FF107" s="43"/>
      <c r="FG107" s="43"/>
      <c r="FH107" s="43"/>
      <c r="FI107" s="43"/>
      <c r="FJ107" s="43"/>
      <c r="FK107" s="43"/>
      <c r="FL107" s="43"/>
      <c r="FM107" s="43"/>
      <c r="FN107" s="43"/>
      <c r="FO107" s="43"/>
      <c r="FP107" s="43"/>
      <c r="FQ107" s="43"/>
      <c r="FR107" s="43"/>
      <c r="FS107" s="43"/>
      <c r="FT107" s="43"/>
      <c r="FU107" s="43"/>
      <c r="FV107" s="43"/>
      <c r="FW107" s="43"/>
      <c r="FX107" s="43"/>
      <c r="FY107" s="43"/>
      <c r="FZ107" s="43"/>
      <c r="GA107" s="43"/>
      <c r="GB107" s="43"/>
      <c r="GC107" s="43"/>
      <c r="GD107" s="43"/>
      <c r="GE107" s="43"/>
      <c r="GF107" s="43"/>
      <c r="GG107" s="43"/>
      <c r="GH107" s="43"/>
      <c r="GI107" s="43"/>
      <c r="GJ107" s="43"/>
      <c r="GK107" s="43"/>
      <c r="GL107" s="43"/>
      <c r="GM107" s="43"/>
      <c r="GN107" s="43"/>
      <c r="GO107" s="43"/>
      <c r="GP107" s="43"/>
      <c r="GQ107" s="43"/>
      <c r="GR107" s="43"/>
      <c r="GS107" s="43"/>
      <c r="GT107" s="43"/>
      <c r="GU107" s="43"/>
      <c r="GV107" s="43"/>
      <c r="GW107" s="43"/>
    </row>
    <row r="108" ht="15.0" customHeight="1">
      <c r="A108" s="460"/>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c r="DI108" s="36"/>
      <c r="DJ108" s="36"/>
      <c r="DK108" s="109"/>
      <c r="DL108" s="43"/>
      <c r="DM108" s="43"/>
      <c r="DN108" s="43"/>
      <c r="DO108" s="43"/>
      <c r="DP108" s="43"/>
      <c r="DQ108" s="43"/>
      <c r="DR108" s="43"/>
      <c r="DS108" s="43"/>
      <c r="DT108" s="43"/>
      <c r="DU108" s="43"/>
      <c r="DV108" s="43"/>
      <c r="DW108" s="43"/>
      <c r="DX108" s="43"/>
      <c r="DY108" s="43"/>
      <c r="DZ108" s="43"/>
      <c r="EA108" s="43"/>
      <c r="EB108" s="43"/>
      <c r="EC108" s="43"/>
      <c r="ED108" s="43"/>
      <c r="EE108" s="43"/>
      <c r="EF108" s="43"/>
      <c r="EG108" s="43"/>
      <c r="EH108" s="43"/>
      <c r="EI108" s="43"/>
      <c r="EJ108" s="43"/>
      <c r="EK108" s="43"/>
      <c r="EL108" s="43"/>
      <c r="EM108" s="43"/>
      <c r="EN108" s="43"/>
      <c r="EO108" s="43"/>
      <c r="EP108" s="43"/>
      <c r="EQ108" s="43"/>
      <c r="ER108" s="43"/>
      <c r="ES108" s="43"/>
      <c r="ET108" s="43"/>
      <c r="EU108" s="43"/>
      <c r="EV108" s="43"/>
      <c r="EW108" s="43"/>
      <c r="EX108" s="43"/>
      <c r="EY108" s="43"/>
      <c r="EZ108" s="43"/>
      <c r="FA108" s="43"/>
      <c r="FB108" s="43"/>
      <c r="FC108" s="43"/>
      <c r="FD108" s="43"/>
      <c r="FE108" s="43"/>
      <c r="FF108" s="43"/>
      <c r="FG108" s="43"/>
      <c r="FH108" s="43"/>
      <c r="FI108" s="43"/>
      <c r="FJ108" s="43"/>
      <c r="FK108" s="43"/>
      <c r="FL108" s="43"/>
      <c r="FM108" s="43"/>
      <c r="FN108" s="43"/>
      <c r="FO108" s="43"/>
      <c r="FP108" s="43"/>
      <c r="FQ108" s="43"/>
      <c r="FR108" s="43"/>
      <c r="FS108" s="43"/>
      <c r="FT108" s="43"/>
      <c r="FU108" s="43"/>
      <c r="FV108" s="43"/>
      <c r="FW108" s="43"/>
      <c r="FX108" s="43"/>
      <c r="FY108" s="43"/>
      <c r="FZ108" s="43"/>
      <c r="GA108" s="43"/>
      <c r="GB108" s="43"/>
      <c r="GC108" s="43"/>
      <c r="GD108" s="43"/>
      <c r="GE108" s="43"/>
      <c r="GF108" s="43"/>
      <c r="GG108" s="43"/>
      <c r="GH108" s="43"/>
      <c r="GI108" s="43"/>
      <c r="GJ108" s="43"/>
      <c r="GK108" s="43"/>
      <c r="GL108" s="43"/>
      <c r="GM108" s="43"/>
      <c r="GN108" s="43"/>
      <c r="GO108" s="43"/>
      <c r="GP108" s="43"/>
      <c r="GQ108" s="43"/>
      <c r="GR108" s="43"/>
      <c r="GS108" s="43"/>
      <c r="GT108" s="43"/>
      <c r="GU108" s="43"/>
      <c r="GV108" s="43"/>
      <c r="GW108" s="43"/>
    </row>
    <row r="109" ht="15.0" customHeight="1">
      <c r="A109" s="318"/>
      <c r="B109" s="432" t="s">
        <v>698</v>
      </c>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c r="BA109" s="49"/>
      <c r="BB109" s="49"/>
      <c r="BC109" s="49"/>
      <c r="BD109" s="49"/>
      <c r="BE109" s="49"/>
      <c r="BF109" s="49"/>
      <c r="BG109" s="49"/>
      <c r="BH109" s="49"/>
      <c r="BI109" s="49"/>
      <c r="BJ109" s="49"/>
      <c r="BK109" s="49"/>
      <c r="BL109" s="49"/>
      <c r="BM109" s="49"/>
      <c r="BN109" s="49"/>
      <c r="BO109" s="49"/>
      <c r="BP109" s="49"/>
      <c r="BQ109" s="49"/>
      <c r="BR109" s="49"/>
      <c r="BS109" s="49"/>
      <c r="BT109" s="49"/>
      <c r="BU109" s="49"/>
      <c r="BV109" s="49"/>
      <c r="BW109" s="49"/>
      <c r="BX109" s="49"/>
      <c r="BY109" s="49"/>
      <c r="BZ109" s="49"/>
      <c r="CA109" s="49"/>
      <c r="CB109" s="49"/>
      <c r="CC109" s="49"/>
      <c r="CD109" s="49"/>
      <c r="CE109" s="49"/>
      <c r="CF109" s="49"/>
      <c r="CG109" s="49"/>
      <c r="CH109" s="49"/>
      <c r="CI109" s="49"/>
      <c r="CJ109" s="49"/>
      <c r="CK109" s="49"/>
      <c r="CL109" s="49"/>
      <c r="CM109" s="49"/>
      <c r="CN109" s="49"/>
      <c r="CO109" s="49"/>
      <c r="CP109" s="49"/>
      <c r="CQ109" s="49"/>
      <c r="CR109" s="49"/>
      <c r="CS109" s="49"/>
      <c r="CT109" s="49"/>
      <c r="CU109" s="49"/>
      <c r="CV109" s="49"/>
      <c r="CW109" s="49"/>
      <c r="CX109" s="49"/>
      <c r="CY109" s="49"/>
      <c r="CZ109" s="49"/>
      <c r="DA109" s="49"/>
      <c r="DB109" s="49"/>
      <c r="DC109" s="49"/>
      <c r="DD109" s="49"/>
      <c r="DE109" s="49"/>
      <c r="DF109" s="49"/>
      <c r="DG109" s="49"/>
      <c r="DH109" s="49"/>
      <c r="DI109" s="49"/>
      <c r="DJ109" s="50"/>
      <c r="DK109" s="53"/>
      <c r="DL109" s="43"/>
      <c r="DM109" s="43"/>
      <c r="DN109" s="43"/>
      <c r="DO109" s="43"/>
      <c r="DP109" s="43"/>
      <c r="DQ109" s="43"/>
      <c r="DR109" s="43"/>
      <c r="DS109" s="43"/>
      <c r="DT109" s="43"/>
      <c r="DU109" s="43"/>
      <c r="DV109" s="43"/>
      <c r="DW109" s="43"/>
      <c r="DX109" s="43"/>
      <c r="DY109" s="43"/>
      <c r="DZ109" s="43"/>
      <c r="EA109" s="43"/>
      <c r="EB109" s="43"/>
      <c r="EC109" s="43"/>
      <c r="ED109" s="43"/>
      <c r="EE109" s="43"/>
      <c r="EF109" s="43"/>
      <c r="EG109" s="43"/>
      <c r="EH109" s="43"/>
      <c r="EI109" s="43"/>
      <c r="EJ109" s="43"/>
      <c r="EK109" s="43"/>
      <c r="EL109" s="43"/>
      <c r="EM109" s="43"/>
      <c r="EN109" s="43"/>
      <c r="EO109" s="43"/>
      <c r="EP109" s="43"/>
      <c r="EQ109" s="43"/>
      <c r="ER109" s="43"/>
      <c r="ES109" s="43"/>
      <c r="ET109" s="43"/>
      <c r="EU109" s="43"/>
      <c r="EV109" s="43"/>
      <c r="EW109" s="43"/>
      <c r="EX109" s="43"/>
      <c r="EY109" s="43"/>
      <c r="EZ109" s="43"/>
      <c r="FA109" s="43"/>
      <c r="FB109" s="43"/>
      <c r="FC109" s="43"/>
      <c r="FD109" s="43"/>
      <c r="FE109" s="43"/>
      <c r="FF109" s="43"/>
      <c r="FG109" s="43"/>
      <c r="FH109" s="43"/>
      <c r="FI109" s="43"/>
      <c r="FJ109" s="43"/>
      <c r="FK109" s="43"/>
      <c r="FL109" s="43"/>
      <c r="FM109" s="43"/>
      <c r="FN109" s="43"/>
      <c r="FO109" s="43"/>
      <c r="FP109" s="43"/>
      <c r="FQ109" s="43"/>
      <c r="FR109" s="43"/>
      <c r="FS109" s="43"/>
      <c r="FT109" s="43"/>
      <c r="FU109" s="43"/>
      <c r="FV109" s="43"/>
      <c r="FW109" s="43"/>
      <c r="FX109" s="43"/>
      <c r="FY109" s="43"/>
      <c r="FZ109" s="43"/>
      <c r="GA109" s="43"/>
      <c r="GB109" s="43"/>
      <c r="GC109" s="43"/>
      <c r="GD109" s="43"/>
      <c r="GE109" s="43"/>
      <c r="GF109" s="43"/>
      <c r="GG109" s="43"/>
      <c r="GH109" s="43"/>
      <c r="GI109" s="43"/>
      <c r="GJ109" s="43"/>
      <c r="GK109" s="43"/>
      <c r="GL109" s="43"/>
      <c r="GM109" s="43"/>
      <c r="GN109" s="43"/>
      <c r="GO109" s="43"/>
      <c r="GP109" s="43"/>
      <c r="GQ109" s="43"/>
      <c r="GR109" s="43"/>
      <c r="GS109" s="43"/>
      <c r="GT109" s="43"/>
      <c r="GU109" s="43"/>
      <c r="GV109" s="43"/>
      <c r="GW109" s="43"/>
    </row>
    <row r="110" ht="15.0" customHeight="1">
      <c r="A110" s="318"/>
      <c r="B110" s="70"/>
      <c r="C110" s="57"/>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c r="AH110" s="57"/>
      <c r="AI110" s="57"/>
      <c r="AJ110" s="57"/>
      <c r="AK110" s="57"/>
      <c r="AL110" s="57"/>
      <c r="AM110" s="57"/>
      <c r="AN110" s="57"/>
      <c r="AO110" s="57"/>
      <c r="AP110" s="57"/>
      <c r="AQ110" s="57"/>
      <c r="AR110" s="57"/>
      <c r="AS110" s="57"/>
      <c r="AT110" s="57"/>
      <c r="AU110" s="57"/>
      <c r="AV110" s="57"/>
      <c r="AW110" s="57"/>
      <c r="AX110" s="57"/>
      <c r="AY110" s="57"/>
      <c r="AZ110" s="57"/>
      <c r="BA110" s="57"/>
      <c r="BB110" s="57"/>
      <c r="BC110" s="57"/>
      <c r="BD110" s="57"/>
      <c r="BE110" s="57"/>
      <c r="BF110" s="57"/>
      <c r="BG110" s="57"/>
      <c r="BH110" s="57"/>
      <c r="BI110" s="57"/>
      <c r="BJ110" s="57"/>
      <c r="BK110" s="57"/>
      <c r="BL110" s="57"/>
      <c r="BM110" s="57"/>
      <c r="BN110" s="57"/>
      <c r="BO110" s="57"/>
      <c r="BP110" s="57"/>
      <c r="BQ110" s="57"/>
      <c r="BR110" s="57"/>
      <c r="BS110" s="57"/>
      <c r="BT110" s="57"/>
      <c r="BU110" s="57"/>
      <c r="BV110" s="57"/>
      <c r="BW110" s="57"/>
      <c r="BX110" s="57"/>
      <c r="BY110" s="57"/>
      <c r="BZ110" s="57"/>
      <c r="CA110" s="57"/>
      <c r="CB110" s="57"/>
      <c r="CC110" s="57"/>
      <c r="CD110" s="57"/>
      <c r="CE110" s="57"/>
      <c r="CF110" s="57"/>
      <c r="CG110" s="57"/>
      <c r="CH110" s="57"/>
      <c r="CI110" s="57"/>
      <c r="CJ110" s="57"/>
      <c r="CK110" s="57"/>
      <c r="CL110" s="57"/>
      <c r="CM110" s="57"/>
      <c r="CN110" s="57"/>
      <c r="CO110" s="57"/>
      <c r="CP110" s="57"/>
      <c r="CQ110" s="57"/>
      <c r="CR110" s="57"/>
      <c r="CS110" s="57"/>
      <c r="CT110" s="57"/>
      <c r="CU110" s="57"/>
      <c r="CV110" s="57"/>
      <c r="CW110" s="57"/>
      <c r="CX110" s="57"/>
      <c r="CY110" s="57"/>
      <c r="CZ110" s="57"/>
      <c r="DA110" s="57"/>
      <c r="DB110" s="57"/>
      <c r="DC110" s="57"/>
      <c r="DD110" s="57"/>
      <c r="DE110" s="57"/>
      <c r="DF110" s="57"/>
      <c r="DG110" s="57"/>
      <c r="DH110" s="57"/>
      <c r="DI110" s="57"/>
      <c r="DJ110" s="58"/>
      <c r="DK110" s="53"/>
      <c r="DL110" s="43"/>
      <c r="DM110" s="43"/>
      <c r="DN110" s="43"/>
      <c r="DO110" s="43"/>
      <c r="DP110" s="43"/>
      <c r="DQ110" s="43"/>
      <c r="DR110" s="43"/>
      <c r="DS110" s="43"/>
      <c r="DT110" s="43"/>
      <c r="DU110" s="43"/>
      <c r="DV110" s="43"/>
      <c r="DW110" s="43"/>
      <c r="DX110" s="43"/>
      <c r="DY110" s="43"/>
      <c r="DZ110" s="43"/>
      <c r="EA110" s="43"/>
      <c r="EB110" s="43"/>
      <c r="EC110" s="43"/>
      <c r="ED110" s="43"/>
      <c r="EE110" s="43"/>
      <c r="EF110" s="43"/>
      <c r="EG110" s="43"/>
      <c r="EH110" s="43"/>
      <c r="EI110" s="43"/>
      <c r="EJ110" s="43"/>
      <c r="EK110" s="43"/>
      <c r="EL110" s="43"/>
      <c r="EM110" s="43"/>
      <c r="EN110" s="43"/>
      <c r="EO110" s="43"/>
      <c r="EP110" s="43"/>
      <c r="EQ110" s="43"/>
      <c r="ER110" s="43"/>
      <c r="ES110" s="43"/>
      <c r="ET110" s="43"/>
      <c r="EU110" s="43"/>
      <c r="EV110" s="43"/>
      <c r="EW110" s="43"/>
      <c r="EX110" s="43"/>
      <c r="EY110" s="43"/>
      <c r="EZ110" s="43"/>
      <c r="FA110" s="43"/>
      <c r="FB110" s="43"/>
      <c r="FC110" s="43"/>
      <c r="FD110" s="43"/>
      <c r="FE110" s="43"/>
      <c r="FF110" s="43"/>
      <c r="FG110" s="43"/>
      <c r="FH110" s="43"/>
      <c r="FI110" s="43"/>
      <c r="FJ110" s="43"/>
      <c r="FK110" s="43"/>
      <c r="FL110" s="43"/>
      <c r="FM110" s="43"/>
      <c r="FN110" s="43"/>
      <c r="FO110" s="43"/>
      <c r="FP110" s="43"/>
      <c r="FQ110" s="43"/>
      <c r="FR110" s="43"/>
      <c r="FS110" s="43"/>
      <c r="FT110" s="43"/>
      <c r="FU110" s="43"/>
      <c r="FV110" s="43"/>
      <c r="FW110" s="43"/>
      <c r="FX110" s="43"/>
      <c r="FY110" s="43"/>
      <c r="FZ110" s="43"/>
      <c r="GA110" s="43"/>
      <c r="GB110" s="43"/>
      <c r="GC110" s="43"/>
      <c r="GD110" s="43"/>
      <c r="GE110" s="43"/>
      <c r="GF110" s="43"/>
      <c r="GG110" s="43"/>
      <c r="GH110" s="43"/>
      <c r="GI110" s="43"/>
      <c r="GJ110" s="43"/>
      <c r="GK110" s="43"/>
      <c r="GL110" s="43"/>
      <c r="GM110" s="43"/>
      <c r="GN110" s="43"/>
      <c r="GO110" s="43"/>
      <c r="GP110" s="43"/>
      <c r="GQ110" s="43"/>
      <c r="GR110" s="43"/>
      <c r="GS110" s="43"/>
      <c r="GT110" s="43"/>
      <c r="GU110" s="43"/>
      <c r="GV110" s="43"/>
      <c r="GW110" s="43"/>
    </row>
    <row r="111" ht="15.0" customHeight="1">
      <c r="A111" s="318"/>
      <c r="B111" s="218" t="s">
        <v>700</v>
      </c>
      <c r="C111" s="49"/>
      <c r="D111" s="49"/>
      <c r="E111" s="49"/>
      <c r="F111" s="49"/>
      <c r="G111" s="49"/>
      <c r="H111" s="49"/>
      <c r="I111" s="50"/>
      <c r="J111" s="461"/>
      <c r="K111" s="49"/>
      <c r="L111" s="49"/>
      <c r="M111" s="49"/>
      <c r="N111" s="49"/>
      <c r="O111" s="49"/>
      <c r="P111" s="50"/>
      <c r="Q111" s="463"/>
      <c r="R111" s="49"/>
      <c r="S111" s="49"/>
      <c r="T111" s="49"/>
      <c r="U111" s="49"/>
      <c r="V111" s="49"/>
      <c r="W111" s="50"/>
      <c r="X111" s="463"/>
      <c r="Y111" s="49"/>
      <c r="Z111" s="49"/>
      <c r="AA111" s="49"/>
      <c r="AB111" s="49"/>
      <c r="AC111" s="49"/>
      <c r="AD111" s="50"/>
      <c r="AE111" s="463"/>
      <c r="AF111" s="49"/>
      <c r="AG111" s="49"/>
      <c r="AH111" s="49"/>
      <c r="AI111" s="49"/>
      <c r="AJ111" s="49"/>
      <c r="AK111" s="50"/>
      <c r="AL111" s="463"/>
      <c r="AM111" s="49"/>
      <c r="AN111" s="49"/>
      <c r="AO111" s="49"/>
      <c r="AP111" s="49"/>
      <c r="AQ111" s="49"/>
      <c r="AR111" s="50"/>
      <c r="AS111" s="463"/>
      <c r="AT111" s="49"/>
      <c r="AU111" s="49"/>
      <c r="AV111" s="49"/>
      <c r="AW111" s="49"/>
      <c r="AX111" s="49"/>
      <c r="AY111" s="50"/>
      <c r="AZ111" s="463"/>
      <c r="BA111" s="49"/>
      <c r="BB111" s="49"/>
      <c r="BC111" s="49"/>
      <c r="BD111" s="49"/>
      <c r="BE111" s="49"/>
      <c r="BF111" s="50"/>
      <c r="BG111" s="463"/>
      <c r="BH111" s="49"/>
      <c r="BI111" s="49"/>
      <c r="BJ111" s="49"/>
      <c r="BK111" s="49"/>
      <c r="BL111" s="49"/>
      <c r="BM111" s="50"/>
      <c r="BN111" s="463"/>
      <c r="BO111" s="49"/>
      <c r="BP111" s="49"/>
      <c r="BQ111" s="49"/>
      <c r="BR111" s="49"/>
      <c r="BS111" s="49"/>
      <c r="BT111" s="50"/>
      <c r="BU111" s="463"/>
      <c r="BV111" s="49"/>
      <c r="BW111" s="49"/>
      <c r="BX111" s="49"/>
      <c r="BY111" s="49"/>
      <c r="BZ111" s="49"/>
      <c r="CA111" s="50"/>
      <c r="CB111" s="463"/>
      <c r="CC111" s="49"/>
      <c r="CD111" s="49"/>
      <c r="CE111" s="49"/>
      <c r="CF111" s="49"/>
      <c r="CG111" s="49"/>
      <c r="CH111" s="50"/>
      <c r="CI111" s="463"/>
      <c r="CJ111" s="49"/>
      <c r="CK111" s="49"/>
      <c r="CL111" s="49"/>
      <c r="CM111" s="49"/>
      <c r="CN111" s="49"/>
      <c r="CO111" s="50"/>
      <c r="CP111" s="463"/>
      <c r="CQ111" s="49"/>
      <c r="CR111" s="49"/>
      <c r="CS111" s="49"/>
      <c r="CT111" s="49"/>
      <c r="CU111" s="49"/>
      <c r="CV111" s="50"/>
      <c r="CW111" s="463"/>
      <c r="CX111" s="49"/>
      <c r="CY111" s="49"/>
      <c r="CZ111" s="49"/>
      <c r="DA111" s="49"/>
      <c r="DB111" s="49"/>
      <c r="DC111" s="50"/>
      <c r="DD111" s="463"/>
      <c r="DE111" s="49"/>
      <c r="DF111" s="49"/>
      <c r="DG111" s="49"/>
      <c r="DH111" s="49"/>
      <c r="DI111" s="49"/>
      <c r="DJ111" s="50"/>
      <c r="DK111" s="53"/>
      <c r="DL111" s="43"/>
      <c r="DM111" s="43"/>
      <c r="DN111" s="43"/>
      <c r="DO111" s="43"/>
      <c r="DP111" s="43"/>
      <c r="DQ111" s="43"/>
      <c r="DR111" s="43"/>
      <c r="DS111" s="43"/>
      <c r="DT111" s="43"/>
      <c r="DU111" s="43"/>
      <c r="DV111" s="43"/>
      <c r="DW111" s="43"/>
      <c r="DX111" s="43"/>
      <c r="DY111" s="43"/>
      <c r="DZ111" s="43"/>
      <c r="EA111" s="43"/>
      <c r="EB111" s="43"/>
      <c r="EC111" s="43"/>
      <c r="ED111" s="43"/>
      <c r="EE111" s="43"/>
      <c r="EF111" s="43"/>
      <c r="EG111" s="43"/>
      <c r="EH111" s="43"/>
      <c r="EI111" s="43"/>
      <c r="EJ111" s="43"/>
      <c r="EK111" s="43"/>
      <c r="EL111" s="43"/>
      <c r="EM111" s="43"/>
      <c r="EN111" s="43"/>
      <c r="EO111" s="43"/>
      <c r="EP111" s="43"/>
      <c r="EQ111" s="43"/>
      <c r="ER111" s="43"/>
      <c r="ES111" s="43"/>
      <c r="ET111" s="43"/>
      <c r="EU111" s="43"/>
      <c r="EV111" s="43"/>
      <c r="EW111" s="43"/>
      <c r="EX111" s="43"/>
      <c r="EY111" s="43"/>
      <c r="EZ111" s="43"/>
      <c r="FA111" s="43"/>
      <c r="FB111" s="43"/>
      <c r="FC111" s="43"/>
      <c r="FD111" s="43"/>
      <c r="FE111" s="43"/>
      <c r="FF111" s="43"/>
      <c r="FG111" s="43"/>
      <c r="FH111" s="43"/>
      <c r="FI111" s="43"/>
      <c r="FJ111" s="43"/>
      <c r="FK111" s="43"/>
      <c r="FL111" s="43"/>
      <c r="FM111" s="43"/>
      <c r="FN111" s="43"/>
      <c r="FO111" s="43"/>
      <c r="FP111" s="43"/>
      <c r="FQ111" s="43"/>
      <c r="FR111" s="43"/>
      <c r="FS111" s="43"/>
      <c r="FT111" s="43"/>
      <c r="FU111" s="43"/>
      <c r="FV111" s="43"/>
      <c r="FW111" s="43"/>
      <c r="FX111" s="43"/>
      <c r="FY111" s="43"/>
      <c r="FZ111" s="43"/>
      <c r="GA111" s="43"/>
      <c r="GB111" s="43"/>
      <c r="GC111" s="43"/>
      <c r="GD111" s="43"/>
      <c r="GE111" s="43"/>
      <c r="GF111" s="43"/>
      <c r="GG111" s="43"/>
      <c r="GH111" s="43"/>
      <c r="GI111" s="43"/>
      <c r="GJ111" s="43"/>
      <c r="GK111" s="43"/>
      <c r="GL111" s="43"/>
      <c r="GM111" s="43"/>
      <c r="GN111" s="43"/>
      <c r="GO111" s="43"/>
      <c r="GP111" s="43"/>
      <c r="GQ111" s="43"/>
      <c r="GR111" s="43"/>
      <c r="GS111" s="43"/>
      <c r="GT111" s="43"/>
      <c r="GU111" s="43"/>
      <c r="GV111" s="43"/>
      <c r="GW111" s="43"/>
    </row>
    <row r="112" ht="15.0" customHeight="1">
      <c r="A112" s="318"/>
      <c r="B112" s="70"/>
      <c r="C112" s="57"/>
      <c r="D112" s="57"/>
      <c r="E112" s="57"/>
      <c r="F112" s="57"/>
      <c r="G112" s="57"/>
      <c r="H112" s="57"/>
      <c r="I112" s="58"/>
      <c r="J112" s="70"/>
      <c r="K112" s="57"/>
      <c r="L112" s="57"/>
      <c r="M112" s="57"/>
      <c r="N112" s="57"/>
      <c r="O112" s="57"/>
      <c r="P112" s="58"/>
      <c r="Q112" s="70"/>
      <c r="R112" s="57"/>
      <c r="S112" s="57"/>
      <c r="T112" s="57"/>
      <c r="U112" s="57"/>
      <c r="V112" s="57"/>
      <c r="W112" s="58"/>
      <c r="X112" s="70"/>
      <c r="Y112" s="57"/>
      <c r="Z112" s="57"/>
      <c r="AA112" s="57"/>
      <c r="AB112" s="57"/>
      <c r="AC112" s="57"/>
      <c r="AD112" s="58"/>
      <c r="AE112" s="70"/>
      <c r="AF112" s="57"/>
      <c r="AG112" s="57"/>
      <c r="AH112" s="57"/>
      <c r="AI112" s="57"/>
      <c r="AJ112" s="57"/>
      <c r="AK112" s="58"/>
      <c r="AL112" s="70"/>
      <c r="AM112" s="57"/>
      <c r="AN112" s="57"/>
      <c r="AO112" s="57"/>
      <c r="AP112" s="57"/>
      <c r="AQ112" s="57"/>
      <c r="AR112" s="58"/>
      <c r="AS112" s="70"/>
      <c r="AT112" s="57"/>
      <c r="AU112" s="57"/>
      <c r="AV112" s="57"/>
      <c r="AW112" s="57"/>
      <c r="AX112" s="57"/>
      <c r="AY112" s="58"/>
      <c r="AZ112" s="70"/>
      <c r="BA112" s="57"/>
      <c r="BB112" s="57"/>
      <c r="BC112" s="57"/>
      <c r="BD112" s="57"/>
      <c r="BE112" s="57"/>
      <c r="BF112" s="58"/>
      <c r="BG112" s="70"/>
      <c r="BH112" s="57"/>
      <c r="BI112" s="57"/>
      <c r="BJ112" s="57"/>
      <c r="BK112" s="57"/>
      <c r="BL112" s="57"/>
      <c r="BM112" s="58"/>
      <c r="BN112" s="70"/>
      <c r="BO112" s="57"/>
      <c r="BP112" s="57"/>
      <c r="BQ112" s="57"/>
      <c r="BR112" s="57"/>
      <c r="BS112" s="57"/>
      <c r="BT112" s="58"/>
      <c r="BU112" s="70"/>
      <c r="BV112" s="57"/>
      <c r="BW112" s="57"/>
      <c r="BX112" s="57"/>
      <c r="BY112" s="57"/>
      <c r="BZ112" s="57"/>
      <c r="CA112" s="58"/>
      <c r="CB112" s="70"/>
      <c r="CC112" s="57"/>
      <c r="CD112" s="57"/>
      <c r="CE112" s="57"/>
      <c r="CF112" s="57"/>
      <c r="CG112" s="57"/>
      <c r="CH112" s="58"/>
      <c r="CI112" s="70"/>
      <c r="CJ112" s="57"/>
      <c r="CK112" s="57"/>
      <c r="CL112" s="57"/>
      <c r="CM112" s="57"/>
      <c r="CN112" s="57"/>
      <c r="CO112" s="58"/>
      <c r="CP112" s="70"/>
      <c r="CQ112" s="57"/>
      <c r="CR112" s="57"/>
      <c r="CS112" s="57"/>
      <c r="CT112" s="57"/>
      <c r="CU112" s="57"/>
      <c r="CV112" s="58"/>
      <c r="CW112" s="70"/>
      <c r="CX112" s="57"/>
      <c r="CY112" s="57"/>
      <c r="CZ112" s="57"/>
      <c r="DA112" s="57"/>
      <c r="DB112" s="57"/>
      <c r="DC112" s="58"/>
      <c r="DD112" s="70"/>
      <c r="DE112" s="57"/>
      <c r="DF112" s="57"/>
      <c r="DG112" s="57"/>
      <c r="DH112" s="57"/>
      <c r="DI112" s="57"/>
      <c r="DJ112" s="58"/>
      <c r="DK112" s="53"/>
      <c r="DL112" s="43"/>
      <c r="DM112" s="43"/>
      <c r="DN112" s="43"/>
      <c r="DO112" s="43"/>
      <c r="DP112" s="43"/>
      <c r="DQ112" s="43"/>
      <c r="DR112" s="43"/>
      <c r="DS112" s="43"/>
      <c r="DT112" s="43"/>
      <c r="DU112" s="43"/>
      <c r="DV112" s="43"/>
      <c r="DW112" s="43"/>
      <c r="DX112" s="43"/>
      <c r="DY112" s="43"/>
      <c r="DZ112" s="43"/>
      <c r="EA112" s="43"/>
      <c r="EB112" s="43"/>
      <c r="EC112" s="43"/>
      <c r="ED112" s="43"/>
      <c r="EE112" s="43"/>
      <c r="EF112" s="43"/>
      <c r="EG112" s="43"/>
      <c r="EH112" s="43"/>
      <c r="EI112" s="43"/>
      <c r="EJ112" s="43"/>
      <c r="EK112" s="43"/>
      <c r="EL112" s="43"/>
      <c r="EM112" s="43"/>
      <c r="EN112" s="43"/>
      <c r="EO112" s="43"/>
      <c r="EP112" s="43"/>
      <c r="EQ112" s="43"/>
      <c r="ER112" s="43"/>
      <c r="ES112" s="43"/>
      <c r="ET112" s="43"/>
      <c r="EU112" s="43"/>
      <c r="EV112" s="43"/>
      <c r="EW112" s="43"/>
      <c r="EX112" s="43"/>
      <c r="EY112" s="43"/>
      <c r="EZ112" s="43"/>
      <c r="FA112" s="43"/>
      <c r="FB112" s="43"/>
      <c r="FC112" s="43"/>
      <c r="FD112" s="43"/>
      <c r="FE112" s="43"/>
      <c r="FF112" s="43"/>
      <c r="FG112" s="43"/>
      <c r="FH112" s="43"/>
      <c r="FI112" s="43"/>
      <c r="FJ112" s="43"/>
      <c r="FK112" s="43"/>
      <c r="FL112" s="43"/>
      <c r="FM112" s="43"/>
      <c r="FN112" s="43"/>
      <c r="FO112" s="43"/>
      <c r="FP112" s="43"/>
      <c r="FQ112" s="43"/>
      <c r="FR112" s="43"/>
      <c r="FS112" s="43"/>
      <c r="FT112" s="43"/>
      <c r="FU112" s="43"/>
      <c r="FV112" s="43"/>
      <c r="FW112" s="43"/>
      <c r="FX112" s="43"/>
      <c r="FY112" s="43"/>
      <c r="FZ112" s="43"/>
      <c r="GA112" s="43"/>
      <c r="GB112" s="43"/>
      <c r="GC112" s="43"/>
      <c r="GD112" s="43"/>
      <c r="GE112" s="43"/>
      <c r="GF112" s="43"/>
      <c r="GG112" s="43"/>
      <c r="GH112" s="43"/>
      <c r="GI112" s="43"/>
      <c r="GJ112" s="43"/>
      <c r="GK112" s="43"/>
      <c r="GL112" s="43"/>
      <c r="GM112" s="43"/>
      <c r="GN112" s="43"/>
      <c r="GO112" s="43"/>
      <c r="GP112" s="43"/>
      <c r="GQ112" s="43"/>
      <c r="GR112" s="43"/>
      <c r="GS112" s="43"/>
      <c r="GT112" s="43"/>
      <c r="GU112" s="43"/>
      <c r="GV112" s="43"/>
      <c r="GW112" s="43"/>
    </row>
    <row r="113" ht="15.0" customHeight="1">
      <c r="A113" s="318"/>
      <c r="B113" s="218" t="s">
        <v>701</v>
      </c>
      <c r="C113" s="49"/>
      <c r="D113" s="49"/>
      <c r="E113" s="49"/>
      <c r="F113" s="49"/>
      <c r="G113" s="49"/>
      <c r="H113" s="49"/>
      <c r="I113" s="50"/>
      <c r="J113" s="464"/>
      <c r="K113" s="49"/>
      <c r="L113" s="49"/>
      <c r="M113" s="49"/>
      <c r="N113" s="49"/>
      <c r="O113" s="49"/>
      <c r="P113" s="50"/>
      <c r="Q113" s="466"/>
      <c r="R113" s="49"/>
      <c r="S113" s="49"/>
      <c r="T113" s="49"/>
      <c r="U113" s="49"/>
      <c r="V113" s="49"/>
      <c r="W113" s="50"/>
      <c r="X113" s="466"/>
      <c r="Y113" s="49"/>
      <c r="Z113" s="49"/>
      <c r="AA113" s="49"/>
      <c r="AB113" s="49"/>
      <c r="AC113" s="49"/>
      <c r="AD113" s="50"/>
      <c r="AE113" s="466"/>
      <c r="AF113" s="49"/>
      <c r="AG113" s="49"/>
      <c r="AH113" s="49"/>
      <c r="AI113" s="49"/>
      <c r="AJ113" s="49"/>
      <c r="AK113" s="50"/>
      <c r="AL113" s="466"/>
      <c r="AM113" s="49"/>
      <c r="AN113" s="49"/>
      <c r="AO113" s="49"/>
      <c r="AP113" s="49"/>
      <c r="AQ113" s="49"/>
      <c r="AR113" s="50"/>
      <c r="AS113" s="466"/>
      <c r="AT113" s="49"/>
      <c r="AU113" s="49"/>
      <c r="AV113" s="49"/>
      <c r="AW113" s="49"/>
      <c r="AX113" s="49"/>
      <c r="AY113" s="50"/>
      <c r="AZ113" s="466"/>
      <c r="BA113" s="49"/>
      <c r="BB113" s="49"/>
      <c r="BC113" s="49"/>
      <c r="BD113" s="49"/>
      <c r="BE113" s="49"/>
      <c r="BF113" s="50"/>
      <c r="BG113" s="466"/>
      <c r="BH113" s="49"/>
      <c r="BI113" s="49"/>
      <c r="BJ113" s="49"/>
      <c r="BK113" s="49"/>
      <c r="BL113" s="49"/>
      <c r="BM113" s="50"/>
      <c r="BN113" s="466"/>
      <c r="BO113" s="49"/>
      <c r="BP113" s="49"/>
      <c r="BQ113" s="49"/>
      <c r="BR113" s="49"/>
      <c r="BS113" s="49"/>
      <c r="BT113" s="50"/>
      <c r="BU113" s="466"/>
      <c r="BV113" s="49"/>
      <c r="BW113" s="49"/>
      <c r="BX113" s="49"/>
      <c r="BY113" s="49"/>
      <c r="BZ113" s="49"/>
      <c r="CA113" s="50"/>
      <c r="CB113" s="466"/>
      <c r="CC113" s="49"/>
      <c r="CD113" s="49"/>
      <c r="CE113" s="49"/>
      <c r="CF113" s="49"/>
      <c r="CG113" s="49"/>
      <c r="CH113" s="50"/>
      <c r="CI113" s="466"/>
      <c r="CJ113" s="49"/>
      <c r="CK113" s="49"/>
      <c r="CL113" s="49"/>
      <c r="CM113" s="49"/>
      <c r="CN113" s="49"/>
      <c r="CO113" s="50"/>
      <c r="CP113" s="466"/>
      <c r="CQ113" s="49"/>
      <c r="CR113" s="49"/>
      <c r="CS113" s="49"/>
      <c r="CT113" s="49"/>
      <c r="CU113" s="49"/>
      <c r="CV113" s="50"/>
      <c r="CW113" s="466"/>
      <c r="CX113" s="49"/>
      <c r="CY113" s="49"/>
      <c r="CZ113" s="49"/>
      <c r="DA113" s="49"/>
      <c r="DB113" s="49"/>
      <c r="DC113" s="50"/>
      <c r="DD113" s="466"/>
      <c r="DE113" s="49"/>
      <c r="DF113" s="49"/>
      <c r="DG113" s="49"/>
      <c r="DH113" s="49"/>
      <c r="DI113" s="49"/>
      <c r="DJ113" s="50"/>
      <c r="DK113" s="53"/>
      <c r="DL113" s="43"/>
      <c r="DM113" s="43"/>
      <c r="DN113" s="43"/>
      <c r="DO113" s="43"/>
      <c r="DP113" s="43"/>
      <c r="DQ113" s="43"/>
      <c r="DR113" s="43"/>
      <c r="DS113" s="43"/>
      <c r="DT113" s="43"/>
      <c r="DU113" s="43"/>
      <c r="DV113" s="43"/>
      <c r="DW113" s="43"/>
      <c r="DX113" s="43"/>
      <c r="DY113" s="43"/>
      <c r="DZ113" s="43"/>
      <c r="EA113" s="43"/>
      <c r="EB113" s="43"/>
      <c r="EC113" s="43"/>
      <c r="ED113" s="43"/>
      <c r="EE113" s="43"/>
      <c r="EF113" s="43"/>
      <c r="EG113" s="43"/>
      <c r="EH113" s="43"/>
      <c r="EI113" s="43"/>
      <c r="EJ113" s="43"/>
      <c r="EK113" s="43"/>
      <c r="EL113" s="43"/>
      <c r="EM113" s="43"/>
      <c r="EN113" s="43"/>
      <c r="EO113" s="43"/>
      <c r="EP113" s="43"/>
      <c r="EQ113" s="43"/>
      <c r="ER113" s="43"/>
      <c r="ES113" s="43"/>
      <c r="ET113" s="43"/>
      <c r="EU113" s="43"/>
      <c r="EV113" s="43"/>
      <c r="EW113" s="43"/>
      <c r="EX113" s="43"/>
      <c r="EY113" s="43"/>
      <c r="EZ113" s="43"/>
      <c r="FA113" s="43"/>
      <c r="FB113" s="43"/>
      <c r="FC113" s="43"/>
      <c r="FD113" s="43"/>
      <c r="FE113" s="43"/>
      <c r="FF113" s="43"/>
      <c r="FG113" s="43"/>
      <c r="FH113" s="43"/>
      <c r="FI113" s="43"/>
      <c r="FJ113" s="43"/>
      <c r="FK113" s="43"/>
      <c r="FL113" s="43"/>
      <c r="FM113" s="43"/>
      <c r="FN113" s="43"/>
      <c r="FO113" s="43"/>
      <c r="FP113" s="43"/>
      <c r="FQ113" s="43"/>
      <c r="FR113" s="43"/>
      <c r="FS113" s="43"/>
      <c r="FT113" s="43"/>
      <c r="FU113" s="43"/>
      <c r="FV113" s="43"/>
      <c r="FW113" s="43"/>
      <c r="FX113" s="43"/>
      <c r="FY113" s="43"/>
      <c r="FZ113" s="43"/>
      <c r="GA113" s="43"/>
      <c r="GB113" s="43"/>
      <c r="GC113" s="43"/>
      <c r="GD113" s="43"/>
      <c r="GE113" s="43"/>
      <c r="GF113" s="43"/>
      <c r="GG113" s="43"/>
      <c r="GH113" s="43"/>
      <c r="GI113" s="43"/>
      <c r="GJ113" s="43"/>
      <c r="GK113" s="43"/>
      <c r="GL113" s="43"/>
      <c r="GM113" s="43"/>
      <c r="GN113" s="43"/>
      <c r="GO113" s="43"/>
      <c r="GP113" s="43"/>
      <c r="GQ113" s="43"/>
      <c r="GR113" s="43"/>
      <c r="GS113" s="43"/>
      <c r="GT113" s="43"/>
      <c r="GU113" s="43"/>
      <c r="GV113" s="43"/>
      <c r="GW113" s="43"/>
    </row>
    <row r="114" ht="15.0" customHeight="1">
      <c r="A114" s="318"/>
      <c r="B114" s="70"/>
      <c r="C114" s="57"/>
      <c r="D114" s="57"/>
      <c r="E114" s="57"/>
      <c r="F114" s="57"/>
      <c r="G114" s="57"/>
      <c r="H114" s="57"/>
      <c r="I114" s="58"/>
      <c r="J114" s="70"/>
      <c r="K114" s="57"/>
      <c r="L114" s="57"/>
      <c r="M114" s="57"/>
      <c r="N114" s="57"/>
      <c r="O114" s="57"/>
      <c r="P114" s="58"/>
      <c r="Q114" s="70"/>
      <c r="R114" s="57"/>
      <c r="S114" s="57"/>
      <c r="T114" s="57"/>
      <c r="U114" s="57"/>
      <c r="V114" s="57"/>
      <c r="W114" s="58"/>
      <c r="X114" s="70"/>
      <c r="Y114" s="57"/>
      <c r="Z114" s="57"/>
      <c r="AA114" s="57"/>
      <c r="AB114" s="57"/>
      <c r="AC114" s="57"/>
      <c r="AD114" s="58"/>
      <c r="AE114" s="70"/>
      <c r="AF114" s="57"/>
      <c r="AG114" s="57"/>
      <c r="AH114" s="57"/>
      <c r="AI114" s="57"/>
      <c r="AJ114" s="57"/>
      <c r="AK114" s="58"/>
      <c r="AL114" s="70"/>
      <c r="AM114" s="57"/>
      <c r="AN114" s="57"/>
      <c r="AO114" s="57"/>
      <c r="AP114" s="57"/>
      <c r="AQ114" s="57"/>
      <c r="AR114" s="58"/>
      <c r="AS114" s="70"/>
      <c r="AT114" s="57"/>
      <c r="AU114" s="57"/>
      <c r="AV114" s="57"/>
      <c r="AW114" s="57"/>
      <c r="AX114" s="57"/>
      <c r="AY114" s="58"/>
      <c r="AZ114" s="70"/>
      <c r="BA114" s="57"/>
      <c r="BB114" s="57"/>
      <c r="BC114" s="57"/>
      <c r="BD114" s="57"/>
      <c r="BE114" s="57"/>
      <c r="BF114" s="58"/>
      <c r="BG114" s="70"/>
      <c r="BH114" s="57"/>
      <c r="BI114" s="57"/>
      <c r="BJ114" s="57"/>
      <c r="BK114" s="57"/>
      <c r="BL114" s="57"/>
      <c r="BM114" s="58"/>
      <c r="BN114" s="70"/>
      <c r="BO114" s="57"/>
      <c r="BP114" s="57"/>
      <c r="BQ114" s="57"/>
      <c r="BR114" s="57"/>
      <c r="BS114" s="57"/>
      <c r="BT114" s="58"/>
      <c r="BU114" s="70"/>
      <c r="BV114" s="57"/>
      <c r="BW114" s="57"/>
      <c r="BX114" s="57"/>
      <c r="BY114" s="57"/>
      <c r="BZ114" s="57"/>
      <c r="CA114" s="58"/>
      <c r="CB114" s="70"/>
      <c r="CC114" s="57"/>
      <c r="CD114" s="57"/>
      <c r="CE114" s="57"/>
      <c r="CF114" s="57"/>
      <c r="CG114" s="57"/>
      <c r="CH114" s="58"/>
      <c r="CI114" s="70"/>
      <c r="CJ114" s="57"/>
      <c r="CK114" s="57"/>
      <c r="CL114" s="57"/>
      <c r="CM114" s="57"/>
      <c r="CN114" s="57"/>
      <c r="CO114" s="58"/>
      <c r="CP114" s="70"/>
      <c r="CQ114" s="57"/>
      <c r="CR114" s="57"/>
      <c r="CS114" s="57"/>
      <c r="CT114" s="57"/>
      <c r="CU114" s="57"/>
      <c r="CV114" s="58"/>
      <c r="CW114" s="70"/>
      <c r="CX114" s="57"/>
      <c r="CY114" s="57"/>
      <c r="CZ114" s="57"/>
      <c r="DA114" s="57"/>
      <c r="DB114" s="57"/>
      <c r="DC114" s="58"/>
      <c r="DD114" s="70"/>
      <c r="DE114" s="57"/>
      <c r="DF114" s="57"/>
      <c r="DG114" s="57"/>
      <c r="DH114" s="57"/>
      <c r="DI114" s="57"/>
      <c r="DJ114" s="58"/>
      <c r="DK114" s="53"/>
      <c r="DL114" s="43"/>
      <c r="DM114" s="43"/>
      <c r="DN114" s="43"/>
      <c r="DO114" s="43"/>
      <c r="DP114" s="43"/>
      <c r="DQ114" s="43"/>
      <c r="DR114" s="43"/>
      <c r="DS114" s="43"/>
      <c r="DT114" s="43"/>
      <c r="DU114" s="43"/>
      <c r="DV114" s="43"/>
      <c r="DW114" s="43"/>
      <c r="DX114" s="43"/>
      <c r="DY114" s="43"/>
      <c r="DZ114" s="43"/>
      <c r="EA114" s="43"/>
      <c r="EB114" s="43"/>
      <c r="EC114" s="43"/>
      <c r="ED114" s="43"/>
      <c r="EE114" s="43"/>
      <c r="EF114" s="43"/>
      <c r="EG114" s="43"/>
      <c r="EH114" s="43"/>
      <c r="EI114" s="43"/>
      <c r="EJ114" s="43"/>
      <c r="EK114" s="43"/>
      <c r="EL114" s="43"/>
      <c r="EM114" s="43"/>
      <c r="EN114" s="43"/>
      <c r="EO114" s="43"/>
      <c r="EP114" s="43"/>
      <c r="EQ114" s="43"/>
      <c r="ER114" s="43"/>
      <c r="ES114" s="43"/>
      <c r="ET114" s="43"/>
      <c r="EU114" s="43"/>
      <c r="EV114" s="43"/>
      <c r="EW114" s="43"/>
      <c r="EX114" s="43"/>
      <c r="EY114" s="43"/>
      <c r="EZ114" s="43"/>
      <c r="FA114" s="43"/>
      <c r="FB114" s="43"/>
      <c r="FC114" s="43"/>
      <c r="FD114" s="43"/>
      <c r="FE114" s="43"/>
      <c r="FF114" s="43"/>
      <c r="FG114" s="43"/>
      <c r="FH114" s="43"/>
      <c r="FI114" s="43"/>
      <c r="FJ114" s="43"/>
      <c r="FK114" s="43"/>
      <c r="FL114" s="43"/>
      <c r="FM114" s="43"/>
      <c r="FN114" s="43"/>
      <c r="FO114" s="43"/>
      <c r="FP114" s="43"/>
      <c r="FQ114" s="43"/>
      <c r="FR114" s="43"/>
      <c r="FS114" s="43"/>
      <c r="FT114" s="43"/>
      <c r="FU114" s="43"/>
      <c r="FV114" s="43"/>
      <c r="FW114" s="43"/>
      <c r="FX114" s="43"/>
      <c r="FY114" s="43"/>
      <c r="FZ114" s="43"/>
      <c r="GA114" s="43"/>
      <c r="GB114" s="43"/>
      <c r="GC114" s="43"/>
      <c r="GD114" s="43"/>
      <c r="GE114" s="43"/>
      <c r="GF114" s="43"/>
      <c r="GG114" s="43"/>
      <c r="GH114" s="43"/>
      <c r="GI114" s="43"/>
      <c r="GJ114" s="43"/>
      <c r="GK114" s="43"/>
      <c r="GL114" s="43"/>
      <c r="GM114" s="43"/>
      <c r="GN114" s="43"/>
      <c r="GO114" s="43"/>
      <c r="GP114" s="43"/>
      <c r="GQ114" s="43"/>
      <c r="GR114" s="43"/>
      <c r="GS114" s="43"/>
      <c r="GT114" s="43"/>
      <c r="GU114" s="43"/>
      <c r="GV114" s="43"/>
      <c r="GW114" s="43"/>
    </row>
    <row r="115" ht="15.0" customHeight="1">
      <c r="A115" s="318"/>
      <c r="B115" s="467" t="s">
        <v>705</v>
      </c>
      <c r="C115" s="49"/>
      <c r="D115" s="49"/>
      <c r="E115" s="49"/>
      <c r="F115" s="49"/>
      <c r="G115" s="49"/>
      <c r="H115" s="49"/>
      <c r="I115" s="50"/>
      <c r="J115" s="464"/>
      <c r="K115" s="49"/>
      <c r="L115" s="49"/>
      <c r="M115" s="49"/>
      <c r="N115" s="49"/>
      <c r="O115" s="49"/>
      <c r="P115" s="50"/>
      <c r="Q115" s="466"/>
      <c r="R115" s="49"/>
      <c r="S115" s="49"/>
      <c r="T115" s="49"/>
      <c r="U115" s="49"/>
      <c r="V115" s="49"/>
      <c r="W115" s="50"/>
      <c r="X115" s="466"/>
      <c r="Y115" s="49"/>
      <c r="Z115" s="49"/>
      <c r="AA115" s="49"/>
      <c r="AB115" s="49"/>
      <c r="AC115" s="49"/>
      <c r="AD115" s="50"/>
      <c r="AE115" s="466"/>
      <c r="AF115" s="49"/>
      <c r="AG115" s="49"/>
      <c r="AH115" s="49"/>
      <c r="AI115" s="49"/>
      <c r="AJ115" s="49"/>
      <c r="AK115" s="50"/>
      <c r="AL115" s="466"/>
      <c r="AM115" s="49"/>
      <c r="AN115" s="49"/>
      <c r="AO115" s="49"/>
      <c r="AP115" s="49"/>
      <c r="AQ115" s="49"/>
      <c r="AR115" s="50"/>
      <c r="AS115" s="466"/>
      <c r="AT115" s="49"/>
      <c r="AU115" s="49"/>
      <c r="AV115" s="49"/>
      <c r="AW115" s="49"/>
      <c r="AX115" s="49"/>
      <c r="AY115" s="50"/>
      <c r="AZ115" s="466"/>
      <c r="BA115" s="49"/>
      <c r="BB115" s="49"/>
      <c r="BC115" s="49"/>
      <c r="BD115" s="49"/>
      <c r="BE115" s="49"/>
      <c r="BF115" s="50"/>
      <c r="BG115" s="466"/>
      <c r="BH115" s="49"/>
      <c r="BI115" s="49"/>
      <c r="BJ115" s="49"/>
      <c r="BK115" s="49"/>
      <c r="BL115" s="49"/>
      <c r="BM115" s="50"/>
      <c r="BN115" s="466"/>
      <c r="BO115" s="49"/>
      <c r="BP115" s="49"/>
      <c r="BQ115" s="49"/>
      <c r="BR115" s="49"/>
      <c r="BS115" s="49"/>
      <c r="BT115" s="50"/>
      <c r="BU115" s="466"/>
      <c r="BV115" s="49"/>
      <c r="BW115" s="49"/>
      <c r="BX115" s="49"/>
      <c r="BY115" s="49"/>
      <c r="BZ115" s="49"/>
      <c r="CA115" s="50"/>
      <c r="CB115" s="466"/>
      <c r="CC115" s="49"/>
      <c r="CD115" s="49"/>
      <c r="CE115" s="49"/>
      <c r="CF115" s="49"/>
      <c r="CG115" s="49"/>
      <c r="CH115" s="50"/>
      <c r="CI115" s="466"/>
      <c r="CJ115" s="49"/>
      <c r="CK115" s="49"/>
      <c r="CL115" s="49"/>
      <c r="CM115" s="49"/>
      <c r="CN115" s="49"/>
      <c r="CO115" s="50"/>
      <c r="CP115" s="466"/>
      <c r="CQ115" s="49"/>
      <c r="CR115" s="49"/>
      <c r="CS115" s="49"/>
      <c r="CT115" s="49"/>
      <c r="CU115" s="49"/>
      <c r="CV115" s="50"/>
      <c r="CW115" s="466"/>
      <c r="CX115" s="49"/>
      <c r="CY115" s="49"/>
      <c r="CZ115" s="49"/>
      <c r="DA115" s="49"/>
      <c r="DB115" s="49"/>
      <c r="DC115" s="50"/>
      <c r="DD115" s="466"/>
      <c r="DE115" s="49"/>
      <c r="DF115" s="49"/>
      <c r="DG115" s="49"/>
      <c r="DH115" s="49"/>
      <c r="DI115" s="49"/>
      <c r="DJ115" s="50"/>
      <c r="DK115" s="53"/>
      <c r="DL115" s="43"/>
      <c r="DM115" s="43"/>
      <c r="DN115" s="43"/>
      <c r="DO115" s="43"/>
      <c r="DP115" s="43"/>
      <c r="DQ115" s="43"/>
      <c r="DR115" s="43"/>
      <c r="DS115" s="43"/>
      <c r="DT115" s="43"/>
      <c r="DU115" s="43"/>
      <c r="DV115" s="43"/>
      <c r="DW115" s="43"/>
      <c r="DX115" s="43"/>
      <c r="DY115" s="43"/>
      <c r="DZ115" s="43"/>
      <c r="EA115" s="43"/>
      <c r="EB115" s="43"/>
      <c r="EC115" s="43"/>
      <c r="ED115" s="43"/>
      <c r="EE115" s="43"/>
      <c r="EF115" s="43"/>
      <c r="EG115" s="43"/>
      <c r="EH115" s="43"/>
      <c r="EI115" s="43"/>
      <c r="EJ115" s="43"/>
      <c r="EK115" s="43"/>
      <c r="EL115" s="43"/>
      <c r="EM115" s="43"/>
      <c r="EN115" s="43"/>
      <c r="EO115" s="43"/>
      <c r="EP115" s="43"/>
      <c r="EQ115" s="43"/>
      <c r="ER115" s="43"/>
      <c r="ES115" s="43"/>
      <c r="ET115" s="43"/>
      <c r="EU115" s="43"/>
      <c r="EV115" s="43"/>
      <c r="EW115" s="43"/>
      <c r="EX115" s="43"/>
      <c r="EY115" s="43"/>
      <c r="EZ115" s="43"/>
      <c r="FA115" s="43"/>
      <c r="FB115" s="43"/>
      <c r="FC115" s="43"/>
      <c r="FD115" s="43"/>
      <c r="FE115" s="43"/>
      <c r="FF115" s="43"/>
      <c r="FG115" s="43"/>
      <c r="FH115" s="43"/>
      <c r="FI115" s="43"/>
      <c r="FJ115" s="43"/>
      <c r="FK115" s="43"/>
      <c r="FL115" s="43"/>
      <c r="FM115" s="43"/>
      <c r="FN115" s="43"/>
      <c r="FO115" s="43"/>
      <c r="FP115" s="43"/>
      <c r="FQ115" s="43"/>
      <c r="FR115" s="43"/>
      <c r="FS115" s="43"/>
      <c r="FT115" s="43"/>
      <c r="FU115" s="43"/>
      <c r="FV115" s="43"/>
      <c r="FW115" s="43"/>
      <c r="FX115" s="43"/>
      <c r="FY115" s="43"/>
      <c r="FZ115" s="43"/>
      <c r="GA115" s="43"/>
      <c r="GB115" s="43"/>
      <c r="GC115" s="43"/>
      <c r="GD115" s="43"/>
      <c r="GE115" s="43"/>
      <c r="GF115" s="43"/>
      <c r="GG115" s="43"/>
      <c r="GH115" s="43"/>
      <c r="GI115" s="43"/>
      <c r="GJ115" s="43"/>
      <c r="GK115" s="43"/>
      <c r="GL115" s="43"/>
      <c r="GM115" s="43"/>
      <c r="GN115" s="43"/>
      <c r="GO115" s="43"/>
      <c r="GP115" s="43"/>
      <c r="GQ115" s="43"/>
      <c r="GR115" s="43"/>
      <c r="GS115" s="43"/>
      <c r="GT115" s="43"/>
      <c r="GU115" s="43"/>
      <c r="GV115" s="43"/>
      <c r="GW115" s="43"/>
    </row>
    <row r="116" ht="15.0" customHeight="1">
      <c r="A116" s="318"/>
      <c r="B116" s="70"/>
      <c r="C116" s="57"/>
      <c r="D116" s="57"/>
      <c r="E116" s="57"/>
      <c r="F116" s="57"/>
      <c r="G116" s="57"/>
      <c r="H116" s="57"/>
      <c r="I116" s="58"/>
      <c r="J116" s="70"/>
      <c r="K116" s="57"/>
      <c r="L116" s="57"/>
      <c r="M116" s="57"/>
      <c r="N116" s="57"/>
      <c r="O116" s="57"/>
      <c r="P116" s="58"/>
      <c r="Q116" s="70"/>
      <c r="R116" s="57"/>
      <c r="S116" s="57"/>
      <c r="T116" s="57"/>
      <c r="U116" s="57"/>
      <c r="V116" s="57"/>
      <c r="W116" s="58"/>
      <c r="X116" s="70"/>
      <c r="Y116" s="57"/>
      <c r="Z116" s="57"/>
      <c r="AA116" s="57"/>
      <c r="AB116" s="57"/>
      <c r="AC116" s="57"/>
      <c r="AD116" s="58"/>
      <c r="AE116" s="70"/>
      <c r="AF116" s="57"/>
      <c r="AG116" s="57"/>
      <c r="AH116" s="57"/>
      <c r="AI116" s="57"/>
      <c r="AJ116" s="57"/>
      <c r="AK116" s="58"/>
      <c r="AL116" s="70"/>
      <c r="AM116" s="57"/>
      <c r="AN116" s="57"/>
      <c r="AO116" s="57"/>
      <c r="AP116" s="57"/>
      <c r="AQ116" s="57"/>
      <c r="AR116" s="58"/>
      <c r="AS116" s="70"/>
      <c r="AT116" s="57"/>
      <c r="AU116" s="57"/>
      <c r="AV116" s="57"/>
      <c r="AW116" s="57"/>
      <c r="AX116" s="57"/>
      <c r="AY116" s="58"/>
      <c r="AZ116" s="70"/>
      <c r="BA116" s="57"/>
      <c r="BB116" s="57"/>
      <c r="BC116" s="57"/>
      <c r="BD116" s="57"/>
      <c r="BE116" s="57"/>
      <c r="BF116" s="58"/>
      <c r="BG116" s="70"/>
      <c r="BH116" s="57"/>
      <c r="BI116" s="57"/>
      <c r="BJ116" s="57"/>
      <c r="BK116" s="57"/>
      <c r="BL116" s="57"/>
      <c r="BM116" s="58"/>
      <c r="BN116" s="70"/>
      <c r="BO116" s="57"/>
      <c r="BP116" s="57"/>
      <c r="BQ116" s="57"/>
      <c r="BR116" s="57"/>
      <c r="BS116" s="57"/>
      <c r="BT116" s="58"/>
      <c r="BU116" s="70"/>
      <c r="BV116" s="57"/>
      <c r="BW116" s="57"/>
      <c r="BX116" s="57"/>
      <c r="BY116" s="57"/>
      <c r="BZ116" s="57"/>
      <c r="CA116" s="58"/>
      <c r="CB116" s="70"/>
      <c r="CC116" s="57"/>
      <c r="CD116" s="57"/>
      <c r="CE116" s="57"/>
      <c r="CF116" s="57"/>
      <c r="CG116" s="57"/>
      <c r="CH116" s="58"/>
      <c r="CI116" s="70"/>
      <c r="CJ116" s="57"/>
      <c r="CK116" s="57"/>
      <c r="CL116" s="57"/>
      <c r="CM116" s="57"/>
      <c r="CN116" s="57"/>
      <c r="CO116" s="58"/>
      <c r="CP116" s="70"/>
      <c r="CQ116" s="57"/>
      <c r="CR116" s="57"/>
      <c r="CS116" s="57"/>
      <c r="CT116" s="57"/>
      <c r="CU116" s="57"/>
      <c r="CV116" s="58"/>
      <c r="CW116" s="70"/>
      <c r="CX116" s="57"/>
      <c r="CY116" s="57"/>
      <c r="CZ116" s="57"/>
      <c r="DA116" s="57"/>
      <c r="DB116" s="57"/>
      <c r="DC116" s="58"/>
      <c r="DD116" s="70"/>
      <c r="DE116" s="57"/>
      <c r="DF116" s="57"/>
      <c r="DG116" s="57"/>
      <c r="DH116" s="57"/>
      <c r="DI116" s="57"/>
      <c r="DJ116" s="58"/>
      <c r="DK116" s="53"/>
      <c r="DL116" s="43"/>
      <c r="DM116" s="43"/>
      <c r="DN116" s="43"/>
      <c r="DO116" s="43"/>
      <c r="DP116" s="43"/>
      <c r="DQ116" s="43"/>
      <c r="DR116" s="43"/>
      <c r="DS116" s="43"/>
      <c r="DT116" s="43"/>
      <c r="DU116" s="43"/>
      <c r="DV116" s="43"/>
      <c r="DW116" s="43"/>
      <c r="DX116" s="43"/>
      <c r="DY116" s="43"/>
      <c r="DZ116" s="43"/>
      <c r="EA116" s="43"/>
      <c r="EB116" s="43"/>
      <c r="EC116" s="43"/>
      <c r="ED116" s="43"/>
      <c r="EE116" s="43"/>
      <c r="EF116" s="43"/>
      <c r="EG116" s="43"/>
      <c r="EH116" s="43"/>
      <c r="EI116" s="43"/>
      <c r="EJ116" s="43"/>
      <c r="EK116" s="43"/>
      <c r="EL116" s="43"/>
      <c r="EM116" s="43"/>
      <c r="EN116" s="43"/>
      <c r="EO116" s="43"/>
      <c r="EP116" s="43"/>
      <c r="EQ116" s="43"/>
      <c r="ER116" s="43"/>
      <c r="ES116" s="43"/>
      <c r="ET116" s="43"/>
      <c r="EU116" s="43"/>
      <c r="EV116" s="43"/>
      <c r="EW116" s="43"/>
      <c r="EX116" s="43"/>
      <c r="EY116" s="43"/>
      <c r="EZ116" s="43"/>
      <c r="FA116" s="43"/>
      <c r="FB116" s="43"/>
      <c r="FC116" s="43"/>
      <c r="FD116" s="43"/>
      <c r="FE116" s="43"/>
      <c r="FF116" s="43"/>
      <c r="FG116" s="43"/>
      <c r="FH116" s="43"/>
      <c r="FI116" s="43"/>
      <c r="FJ116" s="43"/>
      <c r="FK116" s="43"/>
      <c r="FL116" s="43"/>
      <c r="FM116" s="43"/>
      <c r="FN116" s="43"/>
      <c r="FO116" s="43"/>
      <c r="FP116" s="43"/>
      <c r="FQ116" s="43"/>
      <c r="FR116" s="43"/>
      <c r="FS116" s="43"/>
      <c r="FT116" s="43"/>
      <c r="FU116" s="43"/>
      <c r="FV116" s="43"/>
      <c r="FW116" s="43"/>
      <c r="FX116" s="43"/>
      <c r="FY116" s="43"/>
      <c r="FZ116" s="43"/>
      <c r="GA116" s="43"/>
      <c r="GB116" s="43"/>
      <c r="GC116" s="43"/>
      <c r="GD116" s="43"/>
      <c r="GE116" s="43"/>
      <c r="GF116" s="43"/>
      <c r="GG116" s="43"/>
      <c r="GH116" s="43"/>
      <c r="GI116" s="43"/>
      <c r="GJ116" s="43"/>
      <c r="GK116" s="43"/>
      <c r="GL116" s="43"/>
      <c r="GM116" s="43"/>
      <c r="GN116" s="43"/>
      <c r="GO116" s="43"/>
      <c r="GP116" s="43"/>
      <c r="GQ116" s="43"/>
      <c r="GR116" s="43"/>
      <c r="GS116" s="43"/>
      <c r="GT116" s="43"/>
      <c r="GU116" s="43"/>
      <c r="GV116" s="43"/>
      <c r="GW116" s="43"/>
    </row>
    <row r="117" ht="15.0" customHeight="1">
      <c r="A117" s="318"/>
      <c r="B117" s="470" t="s">
        <v>711</v>
      </c>
      <c r="C117" s="46"/>
      <c r="D117" s="46"/>
      <c r="E117" s="47"/>
      <c r="F117" s="470" t="s">
        <v>712</v>
      </c>
      <c r="G117" s="46"/>
      <c r="H117" s="46"/>
      <c r="I117" s="47"/>
      <c r="J117" s="464"/>
      <c r="K117" s="49"/>
      <c r="L117" s="49"/>
      <c r="M117" s="49"/>
      <c r="N117" s="49"/>
      <c r="O117" s="49"/>
      <c r="P117" s="50"/>
      <c r="Q117" s="466"/>
      <c r="R117" s="49"/>
      <c r="S117" s="49"/>
      <c r="T117" s="49"/>
      <c r="U117" s="49"/>
      <c r="V117" s="49"/>
      <c r="W117" s="50"/>
      <c r="X117" s="466"/>
      <c r="Y117" s="49"/>
      <c r="Z117" s="49"/>
      <c r="AA117" s="49"/>
      <c r="AB117" s="49"/>
      <c r="AC117" s="49"/>
      <c r="AD117" s="50"/>
      <c r="AE117" s="466"/>
      <c r="AF117" s="49"/>
      <c r="AG117" s="49"/>
      <c r="AH117" s="49"/>
      <c r="AI117" s="49"/>
      <c r="AJ117" s="49"/>
      <c r="AK117" s="50"/>
      <c r="AL117" s="466"/>
      <c r="AM117" s="49"/>
      <c r="AN117" s="49"/>
      <c r="AO117" s="49"/>
      <c r="AP117" s="49"/>
      <c r="AQ117" s="49"/>
      <c r="AR117" s="50"/>
      <c r="AS117" s="466"/>
      <c r="AT117" s="49"/>
      <c r="AU117" s="49"/>
      <c r="AV117" s="49"/>
      <c r="AW117" s="49"/>
      <c r="AX117" s="49"/>
      <c r="AY117" s="50"/>
      <c r="AZ117" s="466"/>
      <c r="BA117" s="49"/>
      <c r="BB117" s="49"/>
      <c r="BC117" s="49"/>
      <c r="BD117" s="49"/>
      <c r="BE117" s="49"/>
      <c r="BF117" s="50"/>
      <c r="BG117" s="466"/>
      <c r="BH117" s="49"/>
      <c r="BI117" s="49"/>
      <c r="BJ117" s="49"/>
      <c r="BK117" s="49"/>
      <c r="BL117" s="49"/>
      <c r="BM117" s="50"/>
      <c r="BN117" s="466"/>
      <c r="BO117" s="49"/>
      <c r="BP117" s="49"/>
      <c r="BQ117" s="49"/>
      <c r="BR117" s="49"/>
      <c r="BS117" s="49"/>
      <c r="BT117" s="50"/>
      <c r="BU117" s="466"/>
      <c r="BV117" s="49"/>
      <c r="BW117" s="49"/>
      <c r="BX117" s="49"/>
      <c r="BY117" s="49"/>
      <c r="BZ117" s="49"/>
      <c r="CA117" s="50"/>
      <c r="CB117" s="466"/>
      <c r="CC117" s="49"/>
      <c r="CD117" s="49"/>
      <c r="CE117" s="49"/>
      <c r="CF117" s="49"/>
      <c r="CG117" s="49"/>
      <c r="CH117" s="50"/>
      <c r="CI117" s="466"/>
      <c r="CJ117" s="49"/>
      <c r="CK117" s="49"/>
      <c r="CL117" s="49"/>
      <c r="CM117" s="49"/>
      <c r="CN117" s="49"/>
      <c r="CO117" s="50"/>
      <c r="CP117" s="466"/>
      <c r="CQ117" s="49"/>
      <c r="CR117" s="49"/>
      <c r="CS117" s="49"/>
      <c r="CT117" s="49"/>
      <c r="CU117" s="49"/>
      <c r="CV117" s="50"/>
      <c r="CW117" s="466"/>
      <c r="CX117" s="49"/>
      <c r="CY117" s="49"/>
      <c r="CZ117" s="49"/>
      <c r="DA117" s="49"/>
      <c r="DB117" s="49"/>
      <c r="DC117" s="50"/>
      <c r="DD117" s="466"/>
      <c r="DE117" s="49"/>
      <c r="DF117" s="49"/>
      <c r="DG117" s="49"/>
      <c r="DH117" s="49"/>
      <c r="DI117" s="49"/>
      <c r="DJ117" s="50"/>
      <c r="DK117" s="53"/>
      <c r="DL117" s="43"/>
      <c r="DM117" s="43"/>
      <c r="DN117" s="43"/>
      <c r="DO117" s="43"/>
      <c r="DP117" s="43"/>
      <c r="DQ117" s="43"/>
      <c r="DR117" s="43"/>
      <c r="DS117" s="43"/>
      <c r="DT117" s="43"/>
      <c r="DU117" s="43"/>
      <c r="DV117" s="43"/>
      <c r="DW117" s="43"/>
      <c r="DX117" s="43"/>
      <c r="DY117" s="43"/>
      <c r="DZ117" s="43"/>
      <c r="EA117" s="43"/>
      <c r="EB117" s="43"/>
      <c r="EC117" s="43"/>
      <c r="ED117" s="43"/>
      <c r="EE117" s="43"/>
      <c r="EF117" s="43"/>
      <c r="EG117" s="43"/>
      <c r="EH117" s="43"/>
      <c r="EI117" s="43"/>
      <c r="EJ117" s="43"/>
      <c r="EK117" s="43"/>
      <c r="EL117" s="43"/>
      <c r="EM117" s="43"/>
      <c r="EN117" s="43"/>
      <c r="EO117" s="43"/>
      <c r="EP117" s="43"/>
      <c r="EQ117" s="43"/>
      <c r="ER117" s="43"/>
      <c r="ES117" s="43"/>
      <c r="ET117" s="43"/>
      <c r="EU117" s="43"/>
      <c r="EV117" s="43"/>
      <c r="EW117" s="43"/>
      <c r="EX117" s="43"/>
      <c r="EY117" s="43"/>
      <c r="EZ117" s="43"/>
      <c r="FA117" s="43"/>
      <c r="FB117" s="43"/>
      <c r="FC117" s="43"/>
      <c r="FD117" s="43"/>
      <c r="FE117" s="43"/>
      <c r="FF117" s="43"/>
      <c r="FG117" s="43"/>
      <c r="FH117" s="43"/>
      <c r="FI117" s="43"/>
      <c r="FJ117" s="43"/>
      <c r="FK117" s="43"/>
      <c r="FL117" s="43"/>
      <c r="FM117" s="43"/>
      <c r="FN117" s="43"/>
      <c r="FO117" s="43"/>
      <c r="FP117" s="43"/>
      <c r="FQ117" s="43"/>
      <c r="FR117" s="43"/>
      <c r="FS117" s="43"/>
      <c r="FT117" s="43"/>
      <c r="FU117" s="43"/>
      <c r="FV117" s="43"/>
      <c r="FW117" s="43"/>
      <c r="FX117" s="43"/>
      <c r="FY117" s="43"/>
      <c r="FZ117" s="43"/>
      <c r="GA117" s="43"/>
      <c r="GB117" s="43"/>
      <c r="GC117" s="43"/>
      <c r="GD117" s="43"/>
      <c r="GE117" s="43"/>
      <c r="GF117" s="43"/>
      <c r="GG117" s="43"/>
      <c r="GH117" s="43"/>
      <c r="GI117" s="43"/>
      <c r="GJ117" s="43"/>
      <c r="GK117" s="43"/>
      <c r="GL117" s="43"/>
      <c r="GM117" s="43"/>
      <c r="GN117" s="43"/>
      <c r="GO117" s="43"/>
      <c r="GP117" s="43"/>
      <c r="GQ117" s="43"/>
      <c r="GR117" s="43"/>
      <c r="GS117" s="43"/>
      <c r="GT117" s="43"/>
      <c r="GU117" s="43"/>
      <c r="GV117" s="43"/>
      <c r="GW117" s="43"/>
    </row>
    <row r="118" ht="15.0" customHeight="1">
      <c r="A118" s="318"/>
      <c r="B118" s="472"/>
      <c r="C118" s="49"/>
      <c r="D118" s="49"/>
      <c r="E118" s="50"/>
      <c r="F118" s="473"/>
      <c r="G118" s="49"/>
      <c r="H118" s="49"/>
      <c r="I118" s="50"/>
      <c r="J118" s="70"/>
      <c r="K118" s="57"/>
      <c r="L118" s="57"/>
      <c r="M118" s="57"/>
      <c r="N118" s="57"/>
      <c r="O118" s="57"/>
      <c r="P118" s="58"/>
      <c r="Q118" s="70"/>
      <c r="R118" s="57"/>
      <c r="S118" s="57"/>
      <c r="T118" s="57"/>
      <c r="U118" s="57"/>
      <c r="V118" s="57"/>
      <c r="W118" s="58"/>
      <c r="X118" s="70"/>
      <c r="Y118" s="57"/>
      <c r="Z118" s="57"/>
      <c r="AA118" s="57"/>
      <c r="AB118" s="57"/>
      <c r="AC118" s="57"/>
      <c r="AD118" s="58"/>
      <c r="AE118" s="70"/>
      <c r="AF118" s="57"/>
      <c r="AG118" s="57"/>
      <c r="AH118" s="57"/>
      <c r="AI118" s="57"/>
      <c r="AJ118" s="57"/>
      <c r="AK118" s="58"/>
      <c r="AL118" s="70"/>
      <c r="AM118" s="57"/>
      <c r="AN118" s="57"/>
      <c r="AO118" s="57"/>
      <c r="AP118" s="57"/>
      <c r="AQ118" s="57"/>
      <c r="AR118" s="58"/>
      <c r="AS118" s="70"/>
      <c r="AT118" s="57"/>
      <c r="AU118" s="57"/>
      <c r="AV118" s="57"/>
      <c r="AW118" s="57"/>
      <c r="AX118" s="57"/>
      <c r="AY118" s="58"/>
      <c r="AZ118" s="70"/>
      <c r="BA118" s="57"/>
      <c r="BB118" s="57"/>
      <c r="BC118" s="57"/>
      <c r="BD118" s="57"/>
      <c r="BE118" s="57"/>
      <c r="BF118" s="58"/>
      <c r="BG118" s="70"/>
      <c r="BH118" s="57"/>
      <c r="BI118" s="57"/>
      <c r="BJ118" s="57"/>
      <c r="BK118" s="57"/>
      <c r="BL118" s="57"/>
      <c r="BM118" s="58"/>
      <c r="BN118" s="70"/>
      <c r="BO118" s="57"/>
      <c r="BP118" s="57"/>
      <c r="BQ118" s="57"/>
      <c r="BR118" s="57"/>
      <c r="BS118" s="57"/>
      <c r="BT118" s="58"/>
      <c r="BU118" s="70"/>
      <c r="BV118" s="57"/>
      <c r="BW118" s="57"/>
      <c r="BX118" s="57"/>
      <c r="BY118" s="57"/>
      <c r="BZ118" s="57"/>
      <c r="CA118" s="58"/>
      <c r="CB118" s="70"/>
      <c r="CC118" s="57"/>
      <c r="CD118" s="57"/>
      <c r="CE118" s="57"/>
      <c r="CF118" s="57"/>
      <c r="CG118" s="57"/>
      <c r="CH118" s="58"/>
      <c r="CI118" s="70"/>
      <c r="CJ118" s="57"/>
      <c r="CK118" s="57"/>
      <c r="CL118" s="57"/>
      <c r="CM118" s="57"/>
      <c r="CN118" s="57"/>
      <c r="CO118" s="58"/>
      <c r="CP118" s="70"/>
      <c r="CQ118" s="57"/>
      <c r="CR118" s="57"/>
      <c r="CS118" s="57"/>
      <c r="CT118" s="57"/>
      <c r="CU118" s="57"/>
      <c r="CV118" s="58"/>
      <c r="CW118" s="70"/>
      <c r="CX118" s="57"/>
      <c r="CY118" s="57"/>
      <c r="CZ118" s="57"/>
      <c r="DA118" s="57"/>
      <c r="DB118" s="57"/>
      <c r="DC118" s="58"/>
      <c r="DD118" s="70"/>
      <c r="DE118" s="57"/>
      <c r="DF118" s="57"/>
      <c r="DG118" s="57"/>
      <c r="DH118" s="57"/>
      <c r="DI118" s="57"/>
      <c r="DJ118" s="58"/>
      <c r="DK118" s="53"/>
      <c r="DL118" s="43"/>
      <c r="DM118" s="43"/>
      <c r="DN118" s="43"/>
      <c r="DO118" s="43"/>
      <c r="DP118" s="43"/>
      <c r="DQ118" s="43"/>
      <c r="DR118" s="43"/>
      <c r="DS118" s="43"/>
      <c r="DT118" s="43"/>
      <c r="DU118" s="43"/>
      <c r="DV118" s="43"/>
      <c r="DW118" s="43"/>
      <c r="DX118" s="43"/>
      <c r="DY118" s="43"/>
      <c r="DZ118" s="43"/>
      <c r="EA118" s="43"/>
      <c r="EB118" s="43"/>
      <c r="EC118" s="43"/>
      <c r="ED118" s="43"/>
      <c r="EE118" s="43"/>
      <c r="EF118" s="43"/>
      <c r="EG118" s="43"/>
      <c r="EH118" s="43"/>
      <c r="EI118" s="43"/>
      <c r="EJ118" s="43"/>
      <c r="EK118" s="43"/>
      <c r="EL118" s="43"/>
      <c r="EM118" s="43"/>
      <c r="EN118" s="43"/>
      <c r="EO118" s="43"/>
      <c r="EP118" s="43"/>
      <c r="EQ118" s="43"/>
      <c r="ER118" s="43"/>
      <c r="ES118" s="43"/>
      <c r="ET118" s="43"/>
      <c r="EU118" s="43"/>
      <c r="EV118" s="43"/>
      <c r="EW118" s="43"/>
      <c r="EX118" s="43"/>
      <c r="EY118" s="43"/>
      <c r="EZ118" s="43"/>
      <c r="FA118" s="43"/>
      <c r="FB118" s="43"/>
      <c r="FC118" s="43"/>
      <c r="FD118" s="43"/>
      <c r="FE118" s="43"/>
      <c r="FF118" s="43"/>
      <c r="FG118" s="43"/>
      <c r="FH118" s="43"/>
      <c r="FI118" s="43"/>
      <c r="FJ118" s="43"/>
      <c r="FK118" s="43"/>
      <c r="FL118" s="43"/>
      <c r="FM118" s="43"/>
      <c r="FN118" s="43"/>
      <c r="FO118" s="43"/>
      <c r="FP118" s="43"/>
      <c r="FQ118" s="43"/>
      <c r="FR118" s="43"/>
      <c r="FS118" s="43"/>
      <c r="FT118" s="43"/>
      <c r="FU118" s="43"/>
      <c r="FV118" s="43"/>
      <c r="FW118" s="43"/>
      <c r="FX118" s="43"/>
      <c r="FY118" s="43"/>
      <c r="FZ118" s="43"/>
      <c r="GA118" s="43"/>
      <c r="GB118" s="43"/>
      <c r="GC118" s="43"/>
      <c r="GD118" s="43"/>
      <c r="GE118" s="43"/>
      <c r="GF118" s="43"/>
      <c r="GG118" s="43"/>
      <c r="GH118" s="43"/>
      <c r="GI118" s="43"/>
      <c r="GJ118" s="43"/>
      <c r="GK118" s="43"/>
      <c r="GL118" s="43"/>
      <c r="GM118" s="43"/>
      <c r="GN118" s="43"/>
      <c r="GO118" s="43"/>
      <c r="GP118" s="43"/>
      <c r="GQ118" s="43"/>
      <c r="GR118" s="43"/>
      <c r="GS118" s="43"/>
      <c r="GT118" s="43"/>
      <c r="GU118" s="43"/>
      <c r="GV118" s="43"/>
      <c r="GW118" s="43"/>
    </row>
    <row r="119" ht="15.0" customHeight="1">
      <c r="A119" s="318"/>
      <c r="B119" s="70"/>
      <c r="C119" s="57"/>
      <c r="D119" s="57"/>
      <c r="E119" s="58"/>
      <c r="F119" s="70"/>
      <c r="G119" s="57"/>
      <c r="H119" s="57"/>
      <c r="I119" s="58"/>
      <c r="J119" s="464"/>
      <c r="K119" s="49"/>
      <c r="L119" s="49"/>
      <c r="M119" s="49"/>
      <c r="N119" s="49"/>
      <c r="O119" s="49"/>
      <c r="P119" s="50"/>
      <c r="Q119" s="466"/>
      <c r="R119" s="49"/>
      <c r="S119" s="49"/>
      <c r="T119" s="49"/>
      <c r="U119" s="49"/>
      <c r="V119" s="49"/>
      <c r="W119" s="50"/>
      <c r="X119" s="466"/>
      <c r="Y119" s="49"/>
      <c r="Z119" s="49"/>
      <c r="AA119" s="49"/>
      <c r="AB119" s="49"/>
      <c r="AC119" s="49"/>
      <c r="AD119" s="50"/>
      <c r="AE119" s="466"/>
      <c r="AF119" s="49"/>
      <c r="AG119" s="49"/>
      <c r="AH119" s="49"/>
      <c r="AI119" s="49"/>
      <c r="AJ119" s="49"/>
      <c r="AK119" s="50"/>
      <c r="AL119" s="466"/>
      <c r="AM119" s="49"/>
      <c r="AN119" s="49"/>
      <c r="AO119" s="49"/>
      <c r="AP119" s="49"/>
      <c r="AQ119" s="49"/>
      <c r="AR119" s="50"/>
      <c r="AS119" s="466"/>
      <c r="AT119" s="49"/>
      <c r="AU119" s="49"/>
      <c r="AV119" s="49"/>
      <c r="AW119" s="49"/>
      <c r="AX119" s="49"/>
      <c r="AY119" s="50"/>
      <c r="AZ119" s="466"/>
      <c r="BA119" s="49"/>
      <c r="BB119" s="49"/>
      <c r="BC119" s="49"/>
      <c r="BD119" s="49"/>
      <c r="BE119" s="49"/>
      <c r="BF119" s="50"/>
      <c r="BG119" s="466"/>
      <c r="BH119" s="49"/>
      <c r="BI119" s="49"/>
      <c r="BJ119" s="49"/>
      <c r="BK119" s="49"/>
      <c r="BL119" s="49"/>
      <c r="BM119" s="50"/>
      <c r="BN119" s="466"/>
      <c r="BO119" s="49"/>
      <c r="BP119" s="49"/>
      <c r="BQ119" s="49"/>
      <c r="BR119" s="49"/>
      <c r="BS119" s="49"/>
      <c r="BT119" s="50"/>
      <c r="BU119" s="466"/>
      <c r="BV119" s="49"/>
      <c r="BW119" s="49"/>
      <c r="BX119" s="49"/>
      <c r="BY119" s="49"/>
      <c r="BZ119" s="49"/>
      <c r="CA119" s="50"/>
      <c r="CB119" s="466"/>
      <c r="CC119" s="49"/>
      <c r="CD119" s="49"/>
      <c r="CE119" s="49"/>
      <c r="CF119" s="49"/>
      <c r="CG119" s="49"/>
      <c r="CH119" s="50"/>
      <c r="CI119" s="466"/>
      <c r="CJ119" s="49"/>
      <c r="CK119" s="49"/>
      <c r="CL119" s="49"/>
      <c r="CM119" s="49"/>
      <c r="CN119" s="49"/>
      <c r="CO119" s="50"/>
      <c r="CP119" s="466"/>
      <c r="CQ119" s="49"/>
      <c r="CR119" s="49"/>
      <c r="CS119" s="49"/>
      <c r="CT119" s="49"/>
      <c r="CU119" s="49"/>
      <c r="CV119" s="50"/>
      <c r="CW119" s="466"/>
      <c r="CX119" s="49"/>
      <c r="CY119" s="49"/>
      <c r="CZ119" s="49"/>
      <c r="DA119" s="49"/>
      <c r="DB119" s="49"/>
      <c r="DC119" s="50"/>
      <c r="DD119" s="466"/>
      <c r="DE119" s="49"/>
      <c r="DF119" s="49"/>
      <c r="DG119" s="49"/>
      <c r="DH119" s="49"/>
      <c r="DI119" s="49"/>
      <c r="DJ119" s="50"/>
      <c r="DK119" s="53"/>
      <c r="DL119" s="43"/>
      <c r="DM119" s="43"/>
      <c r="DN119" s="43"/>
      <c r="DO119" s="43"/>
      <c r="DP119" s="43"/>
      <c r="DQ119" s="43"/>
      <c r="DR119" s="43"/>
      <c r="DS119" s="43"/>
      <c r="DT119" s="43"/>
      <c r="DU119" s="43"/>
      <c r="DV119" s="43"/>
      <c r="DW119" s="43"/>
      <c r="DX119" s="43"/>
      <c r="DY119" s="43"/>
      <c r="DZ119" s="43"/>
      <c r="EA119" s="43"/>
      <c r="EB119" s="43"/>
      <c r="EC119" s="43"/>
      <c r="ED119" s="43"/>
      <c r="EE119" s="43"/>
      <c r="EF119" s="43"/>
      <c r="EG119" s="43"/>
      <c r="EH119" s="43"/>
      <c r="EI119" s="43"/>
      <c r="EJ119" s="43"/>
      <c r="EK119" s="43"/>
      <c r="EL119" s="43"/>
      <c r="EM119" s="43"/>
      <c r="EN119" s="43"/>
      <c r="EO119" s="43"/>
      <c r="EP119" s="43"/>
      <c r="EQ119" s="43"/>
      <c r="ER119" s="43"/>
      <c r="ES119" s="43"/>
      <c r="ET119" s="43"/>
      <c r="EU119" s="43"/>
      <c r="EV119" s="43"/>
      <c r="EW119" s="43"/>
      <c r="EX119" s="43"/>
      <c r="EY119" s="43"/>
      <c r="EZ119" s="43"/>
      <c r="FA119" s="43"/>
      <c r="FB119" s="43"/>
      <c r="FC119" s="43"/>
      <c r="FD119" s="43"/>
      <c r="FE119" s="43"/>
      <c r="FF119" s="43"/>
      <c r="FG119" s="43"/>
      <c r="FH119" s="43"/>
      <c r="FI119" s="43"/>
      <c r="FJ119" s="43"/>
      <c r="FK119" s="43"/>
      <c r="FL119" s="43"/>
      <c r="FM119" s="43"/>
      <c r="FN119" s="43"/>
      <c r="FO119" s="43"/>
      <c r="FP119" s="43"/>
      <c r="FQ119" s="43"/>
      <c r="FR119" s="43"/>
      <c r="FS119" s="43"/>
      <c r="FT119" s="43"/>
      <c r="FU119" s="43"/>
      <c r="FV119" s="43"/>
      <c r="FW119" s="43"/>
      <c r="FX119" s="43"/>
      <c r="FY119" s="43"/>
      <c r="FZ119" s="43"/>
      <c r="GA119" s="43"/>
      <c r="GB119" s="43"/>
      <c r="GC119" s="43"/>
      <c r="GD119" s="43"/>
      <c r="GE119" s="43"/>
      <c r="GF119" s="43"/>
      <c r="GG119" s="43"/>
      <c r="GH119" s="43"/>
      <c r="GI119" s="43"/>
      <c r="GJ119" s="43"/>
      <c r="GK119" s="43"/>
      <c r="GL119" s="43"/>
      <c r="GM119" s="43"/>
      <c r="GN119" s="43"/>
      <c r="GO119" s="43"/>
      <c r="GP119" s="43"/>
      <c r="GQ119" s="43"/>
      <c r="GR119" s="43"/>
      <c r="GS119" s="43"/>
      <c r="GT119" s="43"/>
      <c r="GU119" s="43"/>
      <c r="GV119" s="43"/>
      <c r="GW119" s="43"/>
    </row>
    <row r="120" ht="15.0" customHeight="1">
      <c r="A120" s="318"/>
      <c r="B120" s="470" t="s">
        <v>719</v>
      </c>
      <c r="C120" s="46"/>
      <c r="D120" s="46"/>
      <c r="E120" s="47"/>
      <c r="F120" s="475">
        <f>SUM(LEN(CONCATENATE(B118))-LEN(SUBSTITUTE(CONCATENATE(B118),"D","")))-SUM(LEN(CONCATENATE(F118))-LEN(SUBSTITUTE(CONCATENATE(F118),"D","")))</f>
        <v>0</v>
      </c>
      <c r="G120" s="46"/>
      <c r="H120" s="46"/>
      <c r="I120" s="47"/>
      <c r="J120" s="70"/>
      <c r="K120" s="57"/>
      <c r="L120" s="57"/>
      <c r="M120" s="57"/>
      <c r="N120" s="57"/>
      <c r="O120" s="57"/>
      <c r="P120" s="58"/>
      <c r="Q120" s="70"/>
      <c r="R120" s="57"/>
      <c r="S120" s="57"/>
      <c r="T120" s="57"/>
      <c r="U120" s="57"/>
      <c r="V120" s="57"/>
      <c r="W120" s="58"/>
      <c r="X120" s="70"/>
      <c r="Y120" s="57"/>
      <c r="Z120" s="57"/>
      <c r="AA120" s="57"/>
      <c r="AB120" s="57"/>
      <c r="AC120" s="57"/>
      <c r="AD120" s="58"/>
      <c r="AE120" s="70"/>
      <c r="AF120" s="57"/>
      <c r="AG120" s="57"/>
      <c r="AH120" s="57"/>
      <c r="AI120" s="57"/>
      <c r="AJ120" s="57"/>
      <c r="AK120" s="58"/>
      <c r="AL120" s="70"/>
      <c r="AM120" s="57"/>
      <c r="AN120" s="57"/>
      <c r="AO120" s="57"/>
      <c r="AP120" s="57"/>
      <c r="AQ120" s="57"/>
      <c r="AR120" s="58"/>
      <c r="AS120" s="70"/>
      <c r="AT120" s="57"/>
      <c r="AU120" s="57"/>
      <c r="AV120" s="57"/>
      <c r="AW120" s="57"/>
      <c r="AX120" s="57"/>
      <c r="AY120" s="58"/>
      <c r="AZ120" s="70"/>
      <c r="BA120" s="57"/>
      <c r="BB120" s="57"/>
      <c r="BC120" s="57"/>
      <c r="BD120" s="57"/>
      <c r="BE120" s="57"/>
      <c r="BF120" s="58"/>
      <c r="BG120" s="70"/>
      <c r="BH120" s="57"/>
      <c r="BI120" s="57"/>
      <c r="BJ120" s="57"/>
      <c r="BK120" s="57"/>
      <c r="BL120" s="57"/>
      <c r="BM120" s="58"/>
      <c r="BN120" s="70"/>
      <c r="BO120" s="57"/>
      <c r="BP120" s="57"/>
      <c r="BQ120" s="57"/>
      <c r="BR120" s="57"/>
      <c r="BS120" s="57"/>
      <c r="BT120" s="58"/>
      <c r="BU120" s="70"/>
      <c r="BV120" s="57"/>
      <c r="BW120" s="57"/>
      <c r="BX120" s="57"/>
      <c r="BY120" s="57"/>
      <c r="BZ120" s="57"/>
      <c r="CA120" s="58"/>
      <c r="CB120" s="70"/>
      <c r="CC120" s="57"/>
      <c r="CD120" s="57"/>
      <c r="CE120" s="57"/>
      <c r="CF120" s="57"/>
      <c r="CG120" s="57"/>
      <c r="CH120" s="58"/>
      <c r="CI120" s="70"/>
      <c r="CJ120" s="57"/>
      <c r="CK120" s="57"/>
      <c r="CL120" s="57"/>
      <c r="CM120" s="57"/>
      <c r="CN120" s="57"/>
      <c r="CO120" s="58"/>
      <c r="CP120" s="70"/>
      <c r="CQ120" s="57"/>
      <c r="CR120" s="57"/>
      <c r="CS120" s="57"/>
      <c r="CT120" s="57"/>
      <c r="CU120" s="57"/>
      <c r="CV120" s="58"/>
      <c r="CW120" s="70"/>
      <c r="CX120" s="57"/>
      <c r="CY120" s="57"/>
      <c r="CZ120" s="57"/>
      <c r="DA120" s="57"/>
      <c r="DB120" s="57"/>
      <c r="DC120" s="58"/>
      <c r="DD120" s="70"/>
      <c r="DE120" s="57"/>
      <c r="DF120" s="57"/>
      <c r="DG120" s="57"/>
      <c r="DH120" s="57"/>
      <c r="DI120" s="57"/>
      <c r="DJ120" s="58"/>
      <c r="DK120" s="53"/>
      <c r="DL120" s="43"/>
      <c r="DM120" s="43"/>
      <c r="DN120" s="43"/>
      <c r="DO120" s="43"/>
      <c r="DP120" s="43"/>
      <c r="DQ120" s="43"/>
      <c r="DR120" s="43"/>
      <c r="DS120" s="43"/>
      <c r="DT120" s="43"/>
      <c r="DU120" s="43"/>
      <c r="DV120" s="43"/>
      <c r="DW120" s="43"/>
      <c r="DX120" s="43"/>
      <c r="DY120" s="43"/>
      <c r="DZ120" s="43"/>
      <c r="EA120" s="43"/>
      <c r="EB120" s="43"/>
      <c r="EC120" s="43"/>
      <c r="ED120" s="43"/>
      <c r="EE120" s="43"/>
      <c r="EF120" s="43"/>
      <c r="EG120" s="43"/>
      <c r="EH120" s="43"/>
      <c r="EI120" s="43"/>
      <c r="EJ120" s="43"/>
      <c r="EK120" s="43"/>
      <c r="EL120" s="43"/>
      <c r="EM120" s="43"/>
      <c r="EN120" s="43"/>
      <c r="EO120" s="43"/>
      <c r="EP120" s="43"/>
      <c r="EQ120" s="43"/>
      <c r="ER120" s="43"/>
      <c r="ES120" s="43"/>
      <c r="ET120" s="43"/>
      <c r="EU120" s="43"/>
      <c r="EV120" s="43"/>
      <c r="EW120" s="43"/>
      <c r="EX120" s="43"/>
      <c r="EY120" s="43"/>
      <c r="EZ120" s="43"/>
      <c r="FA120" s="43"/>
      <c r="FB120" s="43"/>
      <c r="FC120" s="43"/>
      <c r="FD120" s="43"/>
      <c r="FE120" s="43"/>
      <c r="FF120" s="43"/>
      <c r="FG120" s="43"/>
      <c r="FH120" s="43"/>
      <c r="FI120" s="43"/>
      <c r="FJ120" s="43"/>
      <c r="FK120" s="43"/>
      <c r="FL120" s="43"/>
      <c r="FM120" s="43"/>
      <c r="FN120" s="43"/>
      <c r="FO120" s="43"/>
      <c r="FP120" s="43"/>
      <c r="FQ120" s="43"/>
      <c r="FR120" s="43"/>
      <c r="FS120" s="43"/>
      <c r="FT120" s="43"/>
      <c r="FU120" s="43"/>
      <c r="FV120" s="43"/>
      <c r="FW120" s="43"/>
      <c r="FX120" s="43"/>
      <c r="FY120" s="43"/>
      <c r="FZ120" s="43"/>
      <c r="GA120" s="43"/>
      <c r="GB120" s="43"/>
      <c r="GC120" s="43"/>
      <c r="GD120" s="43"/>
      <c r="GE120" s="43"/>
      <c r="GF120" s="43"/>
      <c r="GG120" s="43"/>
      <c r="GH120" s="43"/>
      <c r="GI120" s="43"/>
      <c r="GJ120" s="43"/>
      <c r="GK120" s="43"/>
      <c r="GL120" s="43"/>
      <c r="GM120" s="43"/>
      <c r="GN120" s="43"/>
      <c r="GO120" s="43"/>
      <c r="GP120" s="43"/>
      <c r="GQ120" s="43"/>
      <c r="GR120" s="43"/>
      <c r="GS120" s="43"/>
      <c r="GT120" s="43"/>
      <c r="GU120" s="43"/>
      <c r="GV120" s="43"/>
      <c r="GW120" s="43"/>
    </row>
    <row r="121" ht="15.0" customHeight="1">
      <c r="A121" s="318"/>
      <c r="B121" s="470" t="s">
        <v>723</v>
      </c>
      <c r="C121" s="46"/>
      <c r="D121" s="46"/>
      <c r="E121" s="47"/>
      <c r="F121" s="475">
        <f>SUM(LEN(CONCATENATE(B118))-LEN(SUBSTITUTE(CONCATENATE(B118),"C","")))-SUM(LEN(CONCATENATE(F118))-LEN(SUBSTITUTE(CONCATENATE(F118),"C","")))</f>
        <v>0</v>
      </c>
      <c r="G121" s="46"/>
      <c r="H121" s="46"/>
      <c r="I121" s="47"/>
      <c r="J121" s="464"/>
      <c r="K121" s="49"/>
      <c r="L121" s="49"/>
      <c r="M121" s="49"/>
      <c r="N121" s="49"/>
      <c r="O121" s="49"/>
      <c r="P121" s="50"/>
      <c r="Q121" s="466"/>
      <c r="R121" s="49"/>
      <c r="S121" s="49"/>
      <c r="T121" s="49"/>
      <c r="U121" s="49"/>
      <c r="V121" s="49"/>
      <c r="W121" s="50"/>
      <c r="X121" s="466"/>
      <c r="Y121" s="49"/>
      <c r="Z121" s="49"/>
      <c r="AA121" s="49"/>
      <c r="AB121" s="49"/>
      <c r="AC121" s="49"/>
      <c r="AD121" s="50"/>
      <c r="AE121" s="466"/>
      <c r="AF121" s="49"/>
      <c r="AG121" s="49"/>
      <c r="AH121" s="49"/>
      <c r="AI121" s="49"/>
      <c r="AJ121" s="49"/>
      <c r="AK121" s="50"/>
      <c r="AL121" s="466"/>
      <c r="AM121" s="49"/>
      <c r="AN121" s="49"/>
      <c r="AO121" s="49"/>
      <c r="AP121" s="49"/>
      <c r="AQ121" s="49"/>
      <c r="AR121" s="50"/>
      <c r="AS121" s="466"/>
      <c r="AT121" s="49"/>
      <c r="AU121" s="49"/>
      <c r="AV121" s="49"/>
      <c r="AW121" s="49"/>
      <c r="AX121" s="49"/>
      <c r="AY121" s="50"/>
      <c r="AZ121" s="466"/>
      <c r="BA121" s="49"/>
      <c r="BB121" s="49"/>
      <c r="BC121" s="49"/>
      <c r="BD121" s="49"/>
      <c r="BE121" s="49"/>
      <c r="BF121" s="50"/>
      <c r="BG121" s="466"/>
      <c r="BH121" s="49"/>
      <c r="BI121" s="49"/>
      <c r="BJ121" s="49"/>
      <c r="BK121" s="49"/>
      <c r="BL121" s="49"/>
      <c r="BM121" s="50"/>
      <c r="BN121" s="466"/>
      <c r="BO121" s="49"/>
      <c r="BP121" s="49"/>
      <c r="BQ121" s="49"/>
      <c r="BR121" s="49"/>
      <c r="BS121" s="49"/>
      <c r="BT121" s="50"/>
      <c r="BU121" s="466"/>
      <c r="BV121" s="49"/>
      <c r="BW121" s="49"/>
      <c r="BX121" s="49"/>
      <c r="BY121" s="49"/>
      <c r="BZ121" s="49"/>
      <c r="CA121" s="50"/>
      <c r="CB121" s="466"/>
      <c r="CC121" s="49"/>
      <c r="CD121" s="49"/>
      <c r="CE121" s="49"/>
      <c r="CF121" s="49"/>
      <c r="CG121" s="49"/>
      <c r="CH121" s="50"/>
      <c r="CI121" s="466"/>
      <c r="CJ121" s="49"/>
      <c r="CK121" s="49"/>
      <c r="CL121" s="49"/>
      <c r="CM121" s="49"/>
      <c r="CN121" s="49"/>
      <c r="CO121" s="50"/>
      <c r="CP121" s="466"/>
      <c r="CQ121" s="49"/>
      <c r="CR121" s="49"/>
      <c r="CS121" s="49"/>
      <c r="CT121" s="49"/>
      <c r="CU121" s="49"/>
      <c r="CV121" s="50"/>
      <c r="CW121" s="466"/>
      <c r="CX121" s="49"/>
      <c r="CY121" s="49"/>
      <c r="CZ121" s="49"/>
      <c r="DA121" s="49"/>
      <c r="DB121" s="49"/>
      <c r="DC121" s="50"/>
      <c r="DD121" s="466"/>
      <c r="DE121" s="49"/>
      <c r="DF121" s="49"/>
      <c r="DG121" s="49"/>
      <c r="DH121" s="49"/>
      <c r="DI121" s="49"/>
      <c r="DJ121" s="50"/>
      <c r="DK121" s="53"/>
      <c r="DL121" s="43"/>
      <c r="DM121" s="43"/>
      <c r="DN121" s="43"/>
      <c r="DO121" s="43"/>
      <c r="DP121" s="43"/>
      <c r="DQ121" s="43"/>
      <c r="DR121" s="43"/>
      <c r="DS121" s="43"/>
      <c r="DT121" s="43"/>
      <c r="DU121" s="43"/>
      <c r="DV121" s="43"/>
      <c r="DW121" s="43"/>
      <c r="DX121" s="43"/>
      <c r="DY121" s="43"/>
      <c r="DZ121" s="43"/>
      <c r="EA121" s="43"/>
      <c r="EB121" s="43"/>
      <c r="EC121" s="43"/>
      <c r="ED121" s="43"/>
      <c r="EE121" s="43"/>
      <c r="EF121" s="43"/>
      <c r="EG121" s="43"/>
      <c r="EH121" s="43"/>
      <c r="EI121" s="43"/>
      <c r="EJ121" s="43"/>
      <c r="EK121" s="43"/>
      <c r="EL121" s="43"/>
      <c r="EM121" s="43"/>
      <c r="EN121" s="43"/>
      <c r="EO121" s="43"/>
      <c r="EP121" s="43"/>
      <c r="EQ121" s="43"/>
      <c r="ER121" s="43"/>
      <c r="ES121" s="43"/>
      <c r="ET121" s="43"/>
      <c r="EU121" s="43"/>
      <c r="EV121" s="43"/>
      <c r="EW121" s="43"/>
      <c r="EX121" s="43"/>
      <c r="EY121" s="43"/>
      <c r="EZ121" s="43"/>
      <c r="FA121" s="43"/>
      <c r="FB121" s="43"/>
      <c r="FC121" s="43"/>
      <c r="FD121" s="43"/>
      <c r="FE121" s="43"/>
      <c r="FF121" s="43"/>
      <c r="FG121" s="43"/>
      <c r="FH121" s="43"/>
      <c r="FI121" s="43"/>
      <c r="FJ121" s="43"/>
      <c r="FK121" s="43"/>
      <c r="FL121" s="43"/>
      <c r="FM121" s="43"/>
      <c r="FN121" s="43"/>
      <c r="FO121" s="43"/>
      <c r="FP121" s="43"/>
      <c r="FQ121" s="43"/>
      <c r="FR121" s="43"/>
      <c r="FS121" s="43"/>
      <c r="FT121" s="43"/>
      <c r="FU121" s="43"/>
      <c r="FV121" s="43"/>
      <c r="FW121" s="43"/>
      <c r="FX121" s="43"/>
      <c r="FY121" s="43"/>
      <c r="FZ121" s="43"/>
      <c r="GA121" s="43"/>
      <c r="GB121" s="43"/>
      <c r="GC121" s="43"/>
      <c r="GD121" s="43"/>
      <c r="GE121" s="43"/>
      <c r="GF121" s="43"/>
      <c r="GG121" s="43"/>
      <c r="GH121" s="43"/>
      <c r="GI121" s="43"/>
      <c r="GJ121" s="43"/>
      <c r="GK121" s="43"/>
      <c r="GL121" s="43"/>
      <c r="GM121" s="43"/>
      <c r="GN121" s="43"/>
      <c r="GO121" s="43"/>
      <c r="GP121" s="43"/>
      <c r="GQ121" s="43"/>
      <c r="GR121" s="43"/>
      <c r="GS121" s="43"/>
      <c r="GT121" s="43"/>
      <c r="GU121" s="43"/>
      <c r="GV121" s="43"/>
      <c r="GW121" s="43"/>
    </row>
    <row r="122" ht="15.0" customHeight="1">
      <c r="A122" s="318"/>
      <c r="B122" s="470" t="s">
        <v>724</v>
      </c>
      <c r="C122" s="46"/>
      <c r="D122" s="46"/>
      <c r="E122" s="47"/>
      <c r="F122" s="475">
        <f>SUM(LEN(CONCATENATE(B118))-LEN(SUBSTITUTE(CONCATENATE(B118),"B","")))-SUM(LEN(CONCATENATE(F118))-LEN(SUBSTITUTE(CONCATENATE(F118),"B","")))</f>
        <v>0</v>
      </c>
      <c r="G122" s="46"/>
      <c r="H122" s="46"/>
      <c r="I122" s="47"/>
      <c r="J122" s="70"/>
      <c r="K122" s="57"/>
      <c r="L122" s="57"/>
      <c r="M122" s="57"/>
      <c r="N122" s="57"/>
      <c r="O122" s="57"/>
      <c r="P122" s="58"/>
      <c r="Q122" s="70"/>
      <c r="R122" s="57"/>
      <c r="S122" s="57"/>
      <c r="T122" s="57"/>
      <c r="U122" s="57"/>
      <c r="V122" s="57"/>
      <c r="W122" s="58"/>
      <c r="X122" s="70"/>
      <c r="Y122" s="57"/>
      <c r="Z122" s="57"/>
      <c r="AA122" s="57"/>
      <c r="AB122" s="57"/>
      <c r="AC122" s="57"/>
      <c r="AD122" s="58"/>
      <c r="AE122" s="70"/>
      <c r="AF122" s="57"/>
      <c r="AG122" s="57"/>
      <c r="AH122" s="57"/>
      <c r="AI122" s="57"/>
      <c r="AJ122" s="57"/>
      <c r="AK122" s="58"/>
      <c r="AL122" s="70"/>
      <c r="AM122" s="57"/>
      <c r="AN122" s="57"/>
      <c r="AO122" s="57"/>
      <c r="AP122" s="57"/>
      <c r="AQ122" s="57"/>
      <c r="AR122" s="58"/>
      <c r="AS122" s="70"/>
      <c r="AT122" s="57"/>
      <c r="AU122" s="57"/>
      <c r="AV122" s="57"/>
      <c r="AW122" s="57"/>
      <c r="AX122" s="57"/>
      <c r="AY122" s="58"/>
      <c r="AZ122" s="70"/>
      <c r="BA122" s="57"/>
      <c r="BB122" s="57"/>
      <c r="BC122" s="57"/>
      <c r="BD122" s="57"/>
      <c r="BE122" s="57"/>
      <c r="BF122" s="58"/>
      <c r="BG122" s="70"/>
      <c r="BH122" s="57"/>
      <c r="BI122" s="57"/>
      <c r="BJ122" s="57"/>
      <c r="BK122" s="57"/>
      <c r="BL122" s="57"/>
      <c r="BM122" s="58"/>
      <c r="BN122" s="70"/>
      <c r="BO122" s="57"/>
      <c r="BP122" s="57"/>
      <c r="BQ122" s="57"/>
      <c r="BR122" s="57"/>
      <c r="BS122" s="57"/>
      <c r="BT122" s="58"/>
      <c r="BU122" s="70"/>
      <c r="BV122" s="57"/>
      <c r="BW122" s="57"/>
      <c r="BX122" s="57"/>
      <c r="BY122" s="57"/>
      <c r="BZ122" s="57"/>
      <c r="CA122" s="58"/>
      <c r="CB122" s="70"/>
      <c r="CC122" s="57"/>
      <c r="CD122" s="57"/>
      <c r="CE122" s="57"/>
      <c r="CF122" s="57"/>
      <c r="CG122" s="57"/>
      <c r="CH122" s="58"/>
      <c r="CI122" s="70"/>
      <c r="CJ122" s="57"/>
      <c r="CK122" s="57"/>
      <c r="CL122" s="57"/>
      <c r="CM122" s="57"/>
      <c r="CN122" s="57"/>
      <c r="CO122" s="58"/>
      <c r="CP122" s="70"/>
      <c r="CQ122" s="57"/>
      <c r="CR122" s="57"/>
      <c r="CS122" s="57"/>
      <c r="CT122" s="57"/>
      <c r="CU122" s="57"/>
      <c r="CV122" s="58"/>
      <c r="CW122" s="70"/>
      <c r="CX122" s="57"/>
      <c r="CY122" s="57"/>
      <c r="CZ122" s="57"/>
      <c r="DA122" s="57"/>
      <c r="DB122" s="57"/>
      <c r="DC122" s="58"/>
      <c r="DD122" s="70"/>
      <c r="DE122" s="57"/>
      <c r="DF122" s="57"/>
      <c r="DG122" s="57"/>
      <c r="DH122" s="57"/>
      <c r="DI122" s="57"/>
      <c r="DJ122" s="58"/>
      <c r="DK122" s="53"/>
      <c r="DL122" s="43"/>
      <c r="DM122" s="43"/>
      <c r="DN122" s="43"/>
      <c r="DO122" s="43"/>
      <c r="DP122" s="43"/>
      <c r="DQ122" s="43"/>
      <c r="DR122" s="43"/>
      <c r="DS122" s="43"/>
      <c r="DT122" s="43"/>
      <c r="DU122" s="43"/>
      <c r="DV122" s="43"/>
      <c r="DW122" s="43"/>
      <c r="DX122" s="43"/>
      <c r="DY122" s="43"/>
      <c r="DZ122" s="43"/>
      <c r="EA122" s="43"/>
      <c r="EB122" s="43"/>
      <c r="EC122" s="43"/>
      <c r="ED122" s="43"/>
      <c r="EE122" s="43"/>
      <c r="EF122" s="43"/>
      <c r="EG122" s="43"/>
      <c r="EH122" s="43"/>
      <c r="EI122" s="43"/>
      <c r="EJ122" s="43"/>
      <c r="EK122" s="43"/>
      <c r="EL122" s="43"/>
      <c r="EM122" s="43"/>
      <c r="EN122" s="43"/>
      <c r="EO122" s="43"/>
      <c r="EP122" s="43"/>
      <c r="EQ122" s="43"/>
      <c r="ER122" s="43"/>
      <c r="ES122" s="43"/>
      <c r="ET122" s="43"/>
      <c r="EU122" s="43"/>
      <c r="EV122" s="43"/>
      <c r="EW122" s="43"/>
      <c r="EX122" s="43"/>
      <c r="EY122" s="43"/>
      <c r="EZ122" s="43"/>
      <c r="FA122" s="43"/>
      <c r="FB122" s="43"/>
      <c r="FC122" s="43"/>
      <c r="FD122" s="43"/>
      <c r="FE122" s="43"/>
      <c r="FF122" s="43"/>
      <c r="FG122" s="43"/>
      <c r="FH122" s="43"/>
      <c r="FI122" s="43"/>
      <c r="FJ122" s="43"/>
      <c r="FK122" s="43"/>
      <c r="FL122" s="43"/>
      <c r="FM122" s="43"/>
      <c r="FN122" s="43"/>
      <c r="FO122" s="43"/>
      <c r="FP122" s="43"/>
      <c r="FQ122" s="43"/>
      <c r="FR122" s="43"/>
      <c r="FS122" s="43"/>
      <c r="FT122" s="43"/>
      <c r="FU122" s="43"/>
      <c r="FV122" s="43"/>
      <c r="FW122" s="43"/>
      <c r="FX122" s="43"/>
      <c r="FY122" s="43"/>
      <c r="FZ122" s="43"/>
      <c r="GA122" s="43"/>
      <c r="GB122" s="43"/>
      <c r="GC122" s="43"/>
      <c r="GD122" s="43"/>
      <c r="GE122" s="43"/>
      <c r="GF122" s="43"/>
      <c r="GG122" s="43"/>
      <c r="GH122" s="43"/>
      <c r="GI122" s="43"/>
      <c r="GJ122" s="43"/>
      <c r="GK122" s="43"/>
      <c r="GL122" s="43"/>
      <c r="GM122" s="43"/>
      <c r="GN122" s="43"/>
      <c r="GO122" s="43"/>
      <c r="GP122" s="43"/>
      <c r="GQ122" s="43"/>
      <c r="GR122" s="43"/>
      <c r="GS122" s="43"/>
      <c r="GT122" s="43"/>
      <c r="GU122" s="43"/>
      <c r="GV122" s="43"/>
      <c r="GW122" s="43"/>
    </row>
    <row r="123" ht="15.0" customHeight="1">
      <c r="A123" s="318"/>
      <c r="B123" s="470" t="s">
        <v>728</v>
      </c>
      <c r="C123" s="46"/>
      <c r="D123" s="46"/>
      <c r="E123" s="47"/>
      <c r="F123" s="475">
        <f>SUM(LEN(CONCATENATE(B118))-LEN(SUBSTITUTE(CONCATENATE(B118),"A","")))-SUM(LEN(CONCATENATE(F118))-LEN(SUBSTITUTE(CONCATENATE(F118),"A","")))</f>
        <v>0</v>
      </c>
      <c r="G123" s="46"/>
      <c r="H123" s="46"/>
      <c r="I123" s="47"/>
      <c r="J123" s="464"/>
      <c r="K123" s="49"/>
      <c r="L123" s="49"/>
      <c r="M123" s="49"/>
      <c r="N123" s="49"/>
      <c r="O123" s="49"/>
      <c r="P123" s="50"/>
      <c r="Q123" s="466"/>
      <c r="R123" s="49"/>
      <c r="S123" s="49"/>
      <c r="T123" s="49"/>
      <c r="U123" s="49"/>
      <c r="V123" s="49"/>
      <c r="W123" s="50"/>
      <c r="X123" s="466"/>
      <c r="Y123" s="49"/>
      <c r="Z123" s="49"/>
      <c r="AA123" s="49"/>
      <c r="AB123" s="49"/>
      <c r="AC123" s="49"/>
      <c r="AD123" s="50"/>
      <c r="AE123" s="466"/>
      <c r="AF123" s="49"/>
      <c r="AG123" s="49"/>
      <c r="AH123" s="49"/>
      <c r="AI123" s="49"/>
      <c r="AJ123" s="49"/>
      <c r="AK123" s="50"/>
      <c r="AL123" s="466"/>
      <c r="AM123" s="49"/>
      <c r="AN123" s="49"/>
      <c r="AO123" s="49"/>
      <c r="AP123" s="49"/>
      <c r="AQ123" s="49"/>
      <c r="AR123" s="50"/>
      <c r="AS123" s="466"/>
      <c r="AT123" s="49"/>
      <c r="AU123" s="49"/>
      <c r="AV123" s="49"/>
      <c r="AW123" s="49"/>
      <c r="AX123" s="49"/>
      <c r="AY123" s="50"/>
      <c r="AZ123" s="466"/>
      <c r="BA123" s="49"/>
      <c r="BB123" s="49"/>
      <c r="BC123" s="49"/>
      <c r="BD123" s="49"/>
      <c r="BE123" s="49"/>
      <c r="BF123" s="50"/>
      <c r="BG123" s="466"/>
      <c r="BH123" s="49"/>
      <c r="BI123" s="49"/>
      <c r="BJ123" s="49"/>
      <c r="BK123" s="49"/>
      <c r="BL123" s="49"/>
      <c r="BM123" s="50"/>
      <c r="BN123" s="466"/>
      <c r="BO123" s="49"/>
      <c r="BP123" s="49"/>
      <c r="BQ123" s="49"/>
      <c r="BR123" s="49"/>
      <c r="BS123" s="49"/>
      <c r="BT123" s="50"/>
      <c r="BU123" s="466"/>
      <c r="BV123" s="49"/>
      <c r="BW123" s="49"/>
      <c r="BX123" s="49"/>
      <c r="BY123" s="49"/>
      <c r="BZ123" s="49"/>
      <c r="CA123" s="50"/>
      <c r="CB123" s="466"/>
      <c r="CC123" s="49"/>
      <c r="CD123" s="49"/>
      <c r="CE123" s="49"/>
      <c r="CF123" s="49"/>
      <c r="CG123" s="49"/>
      <c r="CH123" s="50"/>
      <c r="CI123" s="466"/>
      <c r="CJ123" s="49"/>
      <c r="CK123" s="49"/>
      <c r="CL123" s="49"/>
      <c r="CM123" s="49"/>
      <c r="CN123" s="49"/>
      <c r="CO123" s="50"/>
      <c r="CP123" s="466"/>
      <c r="CQ123" s="49"/>
      <c r="CR123" s="49"/>
      <c r="CS123" s="49"/>
      <c r="CT123" s="49"/>
      <c r="CU123" s="49"/>
      <c r="CV123" s="50"/>
      <c r="CW123" s="466"/>
      <c r="CX123" s="49"/>
      <c r="CY123" s="49"/>
      <c r="CZ123" s="49"/>
      <c r="DA123" s="49"/>
      <c r="DB123" s="49"/>
      <c r="DC123" s="50"/>
      <c r="DD123" s="466"/>
      <c r="DE123" s="49"/>
      <c r="DF123" s="49"/>
      <c r="DG123" s="49"/>
      <c r="DH123" s="49"/>
      <c r="DI123" s="49"/>
      <c r="DJ123" s="50"/>
      <c r="DK123" s="53"/>
      <c r="DL123" s="43"/>
      <c r="DM123" s="43"/>
      <c r="DN123" s="43"/>
      <c r="DO123" s="43"/>
      <c r="DP123" s="43"/>
      <c r="DQ123" s="43"/>
      <c r="DR123" s="43"/>
      <c r="DS123" s="43"/>
      <c r="DT123" s="43"/>
      <c r="DU123" s="43"/>
      <c r="DV123" s="43"/>
      <c r="DW123" s="43"/>
      <c r="DX123" s="43"/>
      <c r="DY123" s="43"/>
      <c r="DZ123" s="43"/>
      <c r="EA123" s="43"/>
      <c r="EB123" s="43"/>
      <c r="EC123" s="43"/>
      <c r="ED123" s="43"/>
      <c r="EE123" s="43"/>
      <c r="EF123" s="43"/>
      <c r="EG123" s="43"/>
      <c r="EH123" s="43"/>
      <c r="EI123" s="43"/>
      <c r="EJ123" s="43"/>
      <c r="EK123" s="43"/>
      <c r="EL123" s="43"/>
      <c r="EM123" s="43"/>
      <c r="EN123" s="43"/>
      <c r="EO123" s="43"/>
      <c r="EP123" s="43"/>
      <c r="EQ123" s="43"/>
      <c r="ER123" s="43"/>
      <c r="ES123" s="43"/>
      <c r="ET123" s="43"/>
      <c r="EU123" s="43"/>
      <c r="EV123" s="43"/>
      <c r="EW123" s="43"/>
      <c r="EX123" s="43"/>
      <c r="EY123" s="43"/>
      <c r="EZ123" s="43"/>
      <c r="FA123" s="43"/>
      <c r="FB123" s="43"/>
      <c r="FC123" s="43"/>
      <c r="FD123" s="43"/>
      <c r="FE123" s="43"/>
      <c r="FF123" s="43"/>
      <c r="FG123" s="43"/>
      <c r="FH123" s="43"/>
      <c r="FI123" s="43"/>
      <c r="FJ123" s="43"/>
      <c r="FK123" s="43"/>
      <c r="FL123" s="43"/>
      <c r="FM123" s="43"/>
      <c r="FN123" s="43"/>
      <c r="FO123" s="43"/>
      <c r="FP123" s="43"/>
      <c r="FQ123" s="43"/>
      <c r="FR123" s="43"/>
      <c r="FS123" s="43"/>
      <c r="FT123" s="43"/>
      <c r="FU123" s="43"/>
      <c r="FV123" s="43"/>
      <c r="FW123" s="43"/>
      <c r="FX123" s="43"/>
      <c r="FY123" s="43"/>
      <c r="FZ123" s="43"/>
      <c r="GA123" s="43"/>
      <c r="GB123" s="43"/>
      <c r="GC123" s="43"/>
      <c r="GD123" s="43"/>
      <c r="GE123" s="43"/>
      <c r="GF123" s="43"/>
      <c r="GG123" s="43"/>
      <c r="GH123" s="43"/>
      <c r="GI123" s="43"/>
      <c r="GJ123" s="43"/>
      <c r="GK123" s="43"/>
      <c r="GL123" s="43"/>
      <c r="GM123" s="43"/>
      <c r="GN123" s="43"/>
      <c r="GO123" s="43"/>
      <c r="GP123" s="43"/>
      <c r="GQ123" s="43"/>
      <c r="GR123" s="43"/>
      <c r="GS123" s="43"/>
      <c r="GT123" s="43"/>
      <c r="GU123" s="43"/>
      <c r="GV123" s="43"/>
      <c r="GW123" s="43"/>
    </row>
    <row r="124" ht="15.0" customHeight="1">
      <c r="A124" s="318"/>
      <c r="B124" s="470" t="s">
        <v>732</v>
      </c>
      <c r="C124" s="46"/>
      <c r="D124" s="46"/>
      <c r="E124" s="47"/>
      <c r="F124" s="475">
        <f>SUM(LEN(CONCATENATE(B118))-LEN(SUBSTITUTE(CONCATENATE(B118),"S","")))-SUM(LEN(CONCATENATE(F118))-LEN(SUBSTITUTE(CONCATENATE(F118),"S","")))</f>
        <v>0</v>
      </c>
      <c r="G124" s="46"/>
      <c r="H124" s="46"/>
      <c r="I124" s="47"/>
      <c r="J124" s="70"/>
      <c r="K124" s="57"/>
      <c r="L124" s="57"/>
      <c r="M124" s="57"/>
      <c r="N124" s="57"/>
      <c r="O124" s="57"/>
      <c r="P124" s="58"/>
      <c r="Q124" s="70"/>
      <c r="R124" s="57"/>
      <c r="S124" s="57"/>
      <c r="T124" s="57"/>
      <c r="U124" s="57"/>
      <c r="V124" s="57"/>
      <c r="W124" s="58"/>
      <c r="X124" s="70"/>
      <c r="Y124" s="57"/>
      <c r="Z124" s="57"/>
      <c r="AA124" s="57"/>
      <c r="AB124" s="57"/>
      <c r="AC124" s="57"/>
      <c r="AD124" s="58"/>
      <c r="AE124" s="70"/>
      <c r="AF124" s="57"/>
      <c r="AG124" s="57"/>
      <c r="AH124" s="57"/>
      <c r="AI124" s="57"/>
      <c r="AJ124" s="57"/>
      <c r="AK124" s="58"/>
      <c r="AL124" s="70"/>
      <c r="AM124" s="57"/>
      <c r="AN124" s="57"/>
      <c r="AO124" s="57"/>
      <c r="AP124" s="57"/>
      <c r="AQ124" s="57"/>
      <c r="AR124" s="58"/>
      <c r="AS124" s="70"/>
      <c r="AT124" s="57"/>
      <c r="AU124" s="57"/>
      <c r="AV124" s="57"/>
      <c r="AW124" s="57"/>
      <c r="AX124" s="57"/>
      <c r="AY124" s="58"/>
      <c r="AZ124" s="70"/>
      <c r="BA124" s="57"/>
      <c r="BB124" s="57"/>
      <c r="BC124" s="57"/>
      <c r="BD124" s="57"/>
      <c r="BE124" s="57"/>
      <c r="BF124" s="58"/>
      <c r="BG124" s="70"/>
      <c r="BH124" s="57"/>
      <c r="BI124" s="57"/>
      <c r="BJ124" s="57"/>
      <c r="BK124" s="57"/>
      <c r="BL124" s="57"/>
      <c r="BM124" s="58"/>
      <c r="BN124" s="70"/>
      <c r="BO124" s="57"/>
      <c r="BP124" s="57"/>
      <c r="BQ124" s="57"/>
      <c r="BR124" s="57"/>
      <c r="BS124" s="57"/>
      <c r="BT124" s="58"/>
      <c r="BU124" s="70"/>
      <c r="BV124" s="57"/>
      <c r="BW124" s="57"/>
      <c r="BX124" s="57"/>
      <c r="BY124" s="57"/>
      <c r="BZ124" s="57"/>
      <c r="CA124" s="58"/>
      <c r="CB124" s="70"/>
      <c r="CC124" s="57"/>
      <c r="CD124" s="57"/>
      <c r="CE124" s="57"/>
      <c r="CF124" s="57"/>
      <c r="CG124" s="57"/>
      <c r="CH124" s="58"/>
      <c r="CI124" s="70"/>
      <c r="CJ124" s="57"/>
      <c r="CK124" s="57"/>
      <c r="CL124" s="57"/>
      <c r="CM124" s="57"/>
      <c r="CN124" s="57"/>
      <c r="CO124" s="58"/>
      <c r="CP124" s="70"/>
      <c r="CQ124" s="57"/>
      <c r="CR124" s="57"/>
      <c r="CS124" s="57"/>
      <c r="CT124" s="57"/>
      <c r="CU124" s="57"/>
      <c r="CV124" s="58"/>
      <c r="CW124" s="70"/>
      <c r="CX124" s="57"/>
      <c r="CY124" s="57"/>
      <c r="CZ124" s="57"/>
      <c r="DA124" s="57"/>
      <c r="DB124" s="57"/>
      <c r="DC124" s="58"/>
      <c r="DD124" s="70"/>
      <c r="DE124" s="57"/>
      <c r="DF124" s="57"/>
      <c r="DG124" s="57"/>
      <c r="DH124" s="57"/>
      <c r="DI124" s="57"/>
      <c r="DJ124" s="58"/>
      <c r="DK124" s="53"/>
      <c r="DL124" s="43"/>
      <c r="DM124" s="43"/>
      <c r="DN124" s="43"/>
      <c r="DO124" s="43"/>
      <c r="DP124" s="43"/>
      <c r="DQ124" s="43"/>
      <c r="DR124" s="43"/>
      <c r="DS124" s="43"/>
      <c r="DT124" s="43"/>
      <c r="DU124" s="43"/>
      <c r="DV124" s="43"/>
      <c r="DW124" s="43"/>
      <c r="DX124" s="43"/>
      <c r="DY124" s="43"/>
      <c r="DZ124" s="43"/>
      <c r="EA124" s="43"/>
      <c r="EB124" s="43"/>
      <c r="EC124" s="43"/>
      <c r="ED124" s="43"/>
      <c r="EE124" s="43"/>
      <c r="EF124" s="43"/>
      <c r="EG124" s="43"/>
      <c r="EH124" s="43"/>
      <c r="EI124" s="43"/>
      <c r="EJ124" s="43"/>
      <c r="EK124" s="43"/>
      <c r="EL124" s="43"/>
      <c r="EM124" s="43"/>
      <c r="EN124" s="43"/>
      <c r="EO124" s="43"/>
      <c r="EP124" s="43"/>
      <c r="EQ124" s="43"/>
      <c r="ER124" s="43"/>
      <c r="ES124" s="43"/>
      <c r="ET124" s="43"/>
      <c r="EU124" s="43"/>
      <c r="EV124" s="43"/>
      <c r="EW124" s="43"/>
      <c r="EX124" s="43"/>
      <c r="EY124" s="43"/>
      <c r="EZ124" s="43"/>
      <c r="FA124" s="43"/>
      <c r="FB124" s="43"/>
      <c r="FC124" s="43"/>
      <c r="FD124" s="43"/>
      <c r="FE124" s="43"/>
      <c r="FF124" s="43"/>
      <c r="FG124" s="43"/>
      <c r="FH124" s="43"/>
      <c r="FI124" s="43"/>
      <c r="FJ124" s="43"/>
      <c r="FK124" s="43"/>
      <c r="FL124" s="43"/>
      <c r="FM124" s="43"/>
      <c r="FN124" s="43"/>
      <c r="FO124" s="43"/>
      <c r="FP124" s="43"/>
      <c r="FQ124" s="43"/>
      <c r="FR124" s="43"/>
      <c r="FS124" s="43"/>
      <c r="FT124" s="43"/>
      <c r="FU124" s="43"/>
      <c r="FV124" s="43"/>
      <c r="FW124" s="43"/>
      <c r="FX124" s="43"/>
      <c r="FY124" s="43"/>
      <c r="FZ124" s="43"/>
      <c r="GA124" s="43"/>
      <c r="GB124" s="43"/>
      <c r="GC124" s="43"/>
      <c r="GD124" s="43"/>
      <c r="GE124" s="43"/>
      <c r="GF124" s="43"/>
      <c r="GG124" s="43"/>
      <c r="GH124" s="43"/>
      <c r="GI124" s="43"/>
      <c r="GJ124" s="43"/>
      <c r="GK124" s="43"/>
      <c r="GL124" s="43"/>
      <c r="GM124" s="43"/>
      <c r="GN124" s="43"/>
      <c r="GO124" s="43"/>
      <c r="GP124" s="43"/>
      <c r="GQ124" s="43"/>
      <c r="GR124" s="43"/>
      <c r="GS124" s="43"/>
      <c r="GT124" s="43"/>
      <c r="GU124" s="43"/>
      <c r="GV124" s="43"/>
      <c r="GW124" s="43"/>
    </row>
    <row r="125" ht="15.0" customHeight="1">
      <c r="A125" s="318"/>
      <c r="B125" s="470" t="s">
        <v>737</v>
      </c>
      <c r="C125" s="46"/>
      <c r="D125" s="46"/>
      <c r="E125" s="47"/>
      <c r="F125" s="470" t="s">
        <v>738</v>
      </c>
      <c r="G125" s="46"/>
      <c r="H125" s="46"/>
      <c r="I125" s="47"/>
      <c r="J125" s="464"/>
      <c r="K125" s="49"/>
      <c r="L125" s="49"/>
      <c r="M125" s="49"/>
      <c r="N125" s="49"/>
      <c r="O125" s="49"/>
      <c r="P125" s="50"/>
      <c r="Q125" s="466"/>
      <c r="R125" s="49"/>
      <c r="S125" s="49"/>
      <c r="T125" s="49"/>
      <c r="U125" s="49"/>
      <c r="V125" s="49"/>
      <c r="W125" s="50"/>
      <c r="X125" s="466"/>
      <c r="Y125" s="49"/>
      <c r="Z125" s="49"/>
      <c r="AA125" s="49"/>
      <c r="AB125" s="49"/>
      <c r="AC125" s="49"/>
      <c r="AD125" s="50"/>
      <c r="AE125" s="466"/>
      <c r="AF125" s="49"/>
      <c r="AG125" s="49"/>
      <c r="AH125" s="49"/>
      <c r="AI125" s="49"/>
      <c r="AJ125" s="49"/>
      <c r="AK125" s="50"/>
      <c r="AL125" s="466"/>
      <c r="AM125" s="49"/>
      <c r="AN125" s="49"/>
      <c r="AO125" s="49"/>
      <c r="AP125" s="49"/>
      <c r="AQ125" s="49"/>
      <c r="AR125" s="50"/>
      <c r="AS125" s="466"/>
      <c r="AT125" s="49"/>
      <c r="AU125" s="49"/>
      <c r="AV125" s="49"/>
      <c r="AW125" s="49"/>
      <c r="AX125" s="49"/>
      <c r="AY125" s="50"/>
      <c r="AZ125" s="466"/>
      <c r="BA125" s="49"/>
      <c r="BB125" s="49"/>
      <c r="BC125" s="49"/>
      <c r="BD125" s="49"/>
      <c r="BE125" s="49"/>
      <c r="BF125" s="50"/>
      <c r="BG125" s="466"/>
      <c r="BH125" s="49"/>
      <c r="BI125" s="49"/>
      <c r="BJ125" s="49"/>
      <c r="BK125" s="49"/>
      <c r="BL125" s="49"/>
      <c r="BM125" s="50"/>
      <c r="BN125" s="466"/>
      <c r="BO125" s="49"/>
      <c r="BP125" s="49"/>
      <c r="BQ125" s="49"/>
      <c r="BR125" s="49"/>
      <c r="BS125" s="49"/>
      <c r="BT125" s="50"/>
      <c r="BU125" s="466"/>
      <c r="BV125" s="49"/>
      <c r="BW125" s="49"/>
      <c r="BX125" s="49"/>
      <c r="BY125" s="49"/>
      <c r="BZ125" s="49"/>
      <c r="CA125" s="50"/>
      <c r="CB125" s="466"/>
      <c r="CC125" s="49"/>
      <c r="CD125" s="49"/>
      <c r="CE125" s="49"/>
      <c r="CF125" s="49"/>
      <c r="CG125" s="49"/>
      <c r="CH125" s="50"/>
      <c r="CI125" s="466"/>
      <c r="CJ125" s="49"/>
      <c r="CK125" s="49"/>
      <c r="CL125" s="49"/>
      <c r="CM125" s="49"/>
      <c r="CN125" s="49"/>
      <c r="CO125" s="50"/>
      <c r="CP125" s="466"/>
      <c r="CQ125" s="49"/>
      <c r="CR125" s="49"/>
      <c r="CS125" s="49"/>
      <c r="CT125" s="49"/>
      <c r="CU125" s="49"/>
      <c r="CV125" s="50"/>
      <c r="CW125" s="466"/>
      <c r="CX125" s="49"/>
      <c r="CY125" s="49"/>
      <c r="CZ125" s="49"/>
      <c r="DA125" s="49"/>
      <c r="DB125" s="49"/>
      <c r="DC125" s="50"/>
      <c r="DD125" s="466"/>
      <c r="DE125" s="49"/>
      <c r="DF125" s="49"/>
      <c r="DG125" s="49"/>
      <c r="DH125" s="49"/>
      <c r="DI125" s="49"/>
      <c r="DJ125" s="50"/>
      <c r="DK125" s="53"/>
      <c r="DL125" s="43"/>
      <c r="DM125" s="43"/>
      <c r="DN125" s="43"/>
      <c r="DO125" s="43"/>
      <c r="DP125" s="43"/>
      <c r="DQ125" s="43"/>
      <c r="DR125" s="43"/>
      <c r="DS125" s="43"/>
      <c r="DT125" s="43"/>
      <c r="DU125" s="43"/>
      <c r="DV125" s="43"/>
      <c r="DW125" s="43"/>
      <c r="DX125" s="43"/>
      <c r="DY125" s="43"/>
      <c r="DZ125" s="43"/>
      <c r="EA125" s="43"/>
      <c r="EB125" s="43"/>
      <c r="EC125" s="43"/>
      <c r="ED125" s="43"/>
      <c r="EE125" s="43"/>
      <c r="EF125" s="43"/>
      <c r="EG125" s="43"/>
      <c r="EH125" s="43"/>
      <c r="EI125" s="43"/>
      <c r="EJ125" s="43"/>
      <c r="EK125" s="43"/>
      <c r="EL125" s="43"/>
      <c r="EM125" s="43"/>
      <c r="EN125" s="43"/>
      <c r="EO125" s="43"/>
      <c r="EP125" s="43"/>
      <c r="EQ125" s="43"/>
      <c r="ER125" s="43"/>
      <c r="ES125" s="43"/>
      <c r="ET125" s="43"/>
      <c r="EU125" s="43"/>
      <c r="EV125" s="43"/>
      <c r="EW125" s="43"/>
      <c r="EX125" s="43"/>
      <c r="EY125" s="43"/>
      <c r="EZ125" s="43"/>
      <c r="FA125" s="43"/>
      <c r="FB125" s="43"/>
      <c r="FC125" s="43"/>
      <c r="FD125" s="43"/>
      <c r="FE125" s="43"/>
      <c r="FF125" s="43"/>
      <c r="FG125" s="43"/>
      <c r="FH125" s="43"/>
      <c r="FI125" s="43"/>
      <c r="FJ125" s="43"/>
      <c r="FK125" s="43"/>
      <c r="FL125" s="43"/>
      <c r="FM125" s="43"/>
      <c r="FN125" s="43"/>
      <c r="FO125" s="43"/>
      <c r="FP125" s="43"/>
      <c r="FQ125" s="43"/>
      <c r="FR125" s="43"/>
      <c r="FS125" s="43"/>
      <c r="FT125" s="43"/>
      <c r="FU125" s="43"/>
      <c r="FV125" s="43"/>
      <c r="FW125" s="43"/>
      <c r="FX125" s="43"/>
      <c r="FY125" s="43"/>
      <c r="FZ125" s="43"/>
      <c r="GA125" s="43"/>
      <c r="GB125" s="43"/>
      <c r="GC125" s="43"/>
      <c r="GD125" s="43"/>
      <c r="GE125" s="43"/>
      <c r="GF125" s="43"/>
      <c r="GG125" s="43"/>
      <c r="GH125" s="43"/>
      <c r="GI125" s="43"/>
      <c r="GJ125" s="43"/>
      <c r="GK125" s="43"/>
      <c r="GL125" s="43"/>
      <c r="GM125" s="43"/>
      <c r="GN125" s="43"/>
      <c r="GO125" s="43"/>
      <c r="GP125" s="43"/>
      <c r="GQ125" s="43"/>
      <c r="GR125" s="43"/>
      <c r="GS125" s="43"/>
      <c r="GT125" s="43"/>
      <c r="GU125" s="43"/>
      <c r="GV125" s="43"/>
      <c r="GW125" s="43"/>
    </row>
    <row r="126" ht="15.0" customHeight="1">
      <c r="A126" s="318"/>
      <c r="B126" s="472"/>
      <c r="C126" s="49"/>
      <c r="D126" s="49"/>
      <c r="E126" s="50"/>
      <c r="F126" s="473"/>
      <c r="G126" s="49"/>
      <c r="H126" s="49"/>
      <c r="I126" s="50"/>
      <c r="J126" s="70"/>
      <c r="K126" s="57"/>
      <c r="L126" s="57"/>
      <c r="M126" s="57"/>
      <c r="N126" s="57"/>
      <c r="O126" s="57"/>
      <c r="P126" s="58"/>
      <c r="Q126" s="70"/>
      <c r="R126" s="57"/>
      <c r="S126" s="57"/>
      <c r="T126" s="57"/>
      <c r="U126" s="57"/>
      <c r="V126" s="57"/>
      <c r="W126" s="58"/>
      <c r="X126" s="70"/>
      <c r="Y126" s="57"/>
      <c r="Z126" s="57"/>
      <c r="AA126" s="57"/>
      <c r="AB126" s="57"/>
      <c r="AC126" s="57"/>
      <c r="AD126" s="58"/>
      <c r="AE126" s="70"/>
      <c r="AF126" s="57"/>
      <c r="AG126" s="57"/>
      <c r="AH126" s="57"/>
      <c r="AI126" s="57"/>
      <c r="AJ126" s="57"/>
      <c r="AK126" s="58"/>
      <c r="AL126" s="70"/>
      <c r="AM126" s="57"/>
      <c r="AN126" s="57"/>
      <c r="AO126" s="57"/>
      <c r="AP126" s="57"/>
      <c r="AQ126" s="57"/>
      <c r="AR126" s="58"/>
      <c r="AS126" s="70"/>
      <c r="AT126" s="57"/>
      <c r="AU126" s="57"/>
      <c r="AV126" s="57"/>
      <c r="AW126" s="57"/>
      <c r="AX126" s="57"/>
      <c r="AY126" s="58"/>
      <c r="AZ126" s="70"/>
      <c r="BA126" s="57"/>
      <c r="BB126" s="57"/>
      <c r="BC126" s="57"/>
      <c r="BD126" s="57"/>
      <c r="BE126" s="57"/>
      <c r="BF126" s="58"/>
      <c r="BG126" s="70"/>
      <c r="BH126" s="57"/>
      <c r="BI126" s="57"/>
      <c r="BJ126" s="57"/>
      <c r="BK126" s="57"/>
      <c r="BL126" s="57"/>
      <c r="BM126" s="58"/>
      <c r="BN126" s="70"/>
      <c r="BO126" s="57"/>
      <c r="BP126" s="57"/>
      <c r="BQ126" s="57"/>
      <c r="BR126" s="57"/>
      <c r="BS126" s="57"/>
      <c r="BT126" s="58"/>
      <c r="BU126" s="70"/>
      <c r="BV126" s="57"/>
      <c r="BW126" s="57"/>
      <c r="BX126" s="57"/>
      <c r="BY126" s="57"/>
      <c r="BZ126" s="57"/>
      <c r="CA126" s="58"/>
      <c r="CB126" s="70"/>
      <c r="CC126" s="57"/>
      <c r="CD126" s="57"/>
      <c r="CE126" s="57"/>
      <c r="CF126" s="57"/>
      <c r="CG126" s="57"/>
      <c r="CH126" s="58"/>
      <c r="CI126" s="70"/>
      <c r="CJ126" s="57"/>
      <c r="CK126" s="57"/>
      <c r="CL126" s="57"/>
      <c r="CM126" s="57"/>
      <c r="CN126" s="57"/>
      <c r="CO126" s="58"/>
      <c r="CP126" s="70"/>
      <c r="CQ126" s="57"/>
      <c r="CR126" s="57"/>
      <c r="CS126" s="57"/>
      <c r="CT126" s="57"/>
      <c r="CU126" s="57"/>
      <c r="CV126" s="58"/>
      <c r="CW126" s="70"/>
      <c r="CX126" s="57"/>
      <c r="CY126" s="57"/>
      <c r="CZ126" s="57"/>
      <c r="DA126" s="57"/>
      <c r="DB126" s="57"/>
      <c r="DC126" s="58"/>
      <c r="DD126" s="70"/>
      <c r="DE126" s="57"/>
      <c r="DF126" s="57"/>
      <c r="DG126" s="57"/>
      <c r="DH126" s="57"/>
      <c r="DI126" s="57"/>
      <c r="DJ126" s="58"/>
      <c r="DK126" s="53"/>
      <c r="DL126" s="43"/>
      <c r="DM126" s="43"/>
      <c r="DN126" s="43"/>
      <c r="DO126" s="43"/>
      <c r="DP126" s="43"/>
      <c r="DQ126" s="43"/>
      <c r="DR126" s="43"/>
      <c r="DS126" s="43"/>
      <c r="DT126" s="43"/>
      <c r="DU126" s="43"/>
      <c r="DV126" s="43"/>
      <c r="DW126" s="43"/>
      <c r="DX126" s="43"/>
      <c r="DY126" s="43"/>
      <c r="DZ126" s="43"/>
      <c r="EA126" s="43"/>
      <c r="EB126" s="43"/>
      <c r="EC126" s="43"/>
      <c r="ED126" s="43"/>
      <c r="EE126" s="43"/>
      <c r="EF126" s="43"/>
      <c r="EG126" s="43"/>
      <c r="EH126" s="43"/>
      <c r="EI126" s="43"/>
      <c r="EJ126" s="43"/>
      <c r="EK126" s="43"/>
      <c r="EL126" s="43"/>
      <c r="EM126" s="43"/>
      <c r="EN126" s="43"/>
      <c r="EO126" s="43"/>
      <c r="EP126" s="43"/>
      <c r="EQ126" s="43"/>
      <c r="ER126" s="43"/>
      <c r="ES126" s="43"/>
      <c r="ET126" s="43"/>
      <c r="EU126" s="43"/>
      <c r="EV126" s="43"/>
      <c r="EW126" s="43"/>
      <c r="EX126" s="43"/>
      <c r="EY126" s="43"/>
      <c r="EZ126" s="43"/>
      <c r="FA126" s="43"/>
      <c r="FB126" s="43"/>
      <c r="FC126" s="43"/>
      <c r="FD126" s="43"/>
      <c r="FE126" s="43"/>
      <c r="FF126" s="43"/>
      <c r="FG126" s="43"/>
      <c r="FH126" s="43"/>
      <c r="FI126" s="43"/>
      <c r="FJ126" s="43"/>
      <c r="FK126" s="43"/>
      <c r="FL126" s="43"/>
      <c r="FM126" s="43"/>
      <c r="FN126" s="43"/>
      <c r="FO126" s="43"/>
      <c r="FP126" s="43"/>
      <c r="FQ126" s="43"/>
      <c r="FR126" s="43"/>
      <c r="FS126" s="43"/>
      <c r="FT126" s="43"/>
      <c r="FU126" s="43"/>
      <c r="FV126" s="43"/>
      <c r="FW126" s="43"/>
      <c r="FX126" s="43"/>
      <c r="FY126" s="43"/>
      <c r="FZ126" s="43"/>
      <c r="GA126" s="43"/>
      <c r="GB126" s="43"/>
      <c r="GC126" s="43"/>
      <c r="GD126" s="43"/>
      <c r="GE126" s="43"/>
      <c r="GF126" s="43"/>
      <c r="GG126" s="43"/>
      <c r="GH126" s="43"/>
      <c r="GI126" s="43"/>
      <c r="GJ126" s="43"/>
      <c r="GK126" s="43"/>
      <c r="GL126" s="43"/>
      <c r="GM126" s="43"/>
      <c r="GN126" s="43"/>
      <c r="GO126" s="43"/>
      <c r="GP126" s="43"/>
      <c r="GQ126" s="43"/>
      <c r="GR126" s="43"/>
      <c r="GS126" s="43"/>
      <c r="GT126" s="43"/>
      <c r="GU126" s="43"/>
      <c r="GV126" s="43"/>
      <c r="GW126" s="43"/>
    </row>
    <row r="127" ht="15.0" customHeight="1">
      <c r="A127" s="318"/>
      <c r="B127" s="70"/>
      <c r="C127" s="57"/>
      <c r="D127" s="57"/>
      <c r="E127" s="58"/>
      <c r="F127" s="70"/>
      <c r="G127" s="57"/>
      <c r="H127" s="57"/>
      <c r="I127" s="58"/>
      <c r="J127" s="464"/>
      <c r="K127" s="49"/>
      <c r="L127" s="49"/>
      <c r="M127" s="49"/>
      <c r="N127" s="49"/>
      <c r="O127" s="49"/>
      <c r="P127" s="50"/>
      <c r="Q127" s="466"/>
      <c r="R127" s="49"/>
      <c r="S127" s="49"/>
      <c r="T127" s="49"/>
      <c r="U127" s="49"/>
      <c r="V127" s="49"/>
      <c r="W127" s="50"/>
      <c r="X127" s="466"/>
      <c r="Y127" s="49"/>
      <c r="Z127" s="49"/>
      <c r="AA127" s="49"/>
      <c r="AB127" s="49"/>
      <c r="AC127" s="49"/>
      <c r="AD127" s="50"/>
      <c r="AE127" s="466"/>
      <c r="AF127" s="49"/>
      <c r="AG127" s="49"/>
      <c r="AH127" s="49"/>
      <c r="AI127" s="49"/>
      <c r="AJ127" s="49"/>
      <c r="AK127" s="50"/>
      <c r="AL127" s="466"/>
      <c r="AM127" s="49"/>
      <c r="AN127" s="49"/>
      <c r="AO127" s="49"/>
      <c r="AP127" s="49"/>
      <c r="AQ127" s="49"/>
      <c r="AR127" s="50"/>
      <c r="AS127" s="466"/>
      <c r="AT127" s="49"/>
      <c r="AU127" s="49"/>
      <c r="AV127" s="49"/>
      <c r="AW127" s="49"/>
      <c r="AX127" s="49"/>
      <c r="AY127" s="50"/>
      <c r="AZ127" s="466"/>
      <c r="BA127" s="49"/>
      <c r="BB127" s="49"/>
      <c r="BC127" s="49"/>
      <c r="BD127" s="49"/>
      <c r="BE127" s="49"/>
      <c r="BF127" s="50"/>
      <c r="BG127" s="466"/>
      <c r="BH127" s="49"/>
      <c r="BI127" s="49"/>
      <c r="BJ127" s="49"/>
      <c r="BK127" s="49"/>
      <c r="BL127" s="49"/>
      <c r="BM127" s="50"/>
      <c r="BN127" s="466"/>
      <c r="BO127" s="49"/>
      <c r="BP127" s="49"/>
      <c r="BQ127" s="49"/>
      <c r="BR127" s="49"/>
      <c r="BS127" s="49"/>
      <c r="BT127" s="50"/>
      <c r="BU127" s="466"/>
      <c r="BV127" s="49"/>
      <c r="BW127" s="49"/>
      <c r="BX127" s="49"/>
      <c r="BY127" s="49"/>
      <c r="BZ127" s="49"/>
      <c r="CA127" s="50"/>
      <c r="CB127" s="466"/>
      <c r="CC127" s="49"/>
      <c r="CD127" s="49"/>
      <c r="CE127" s="49"/>
      <c r="CF127" s="49"/>
      <c r="CG127" s="49"/>
      <c r="CH127" s="50"/>
      <c r="CI127" s="466"/>
      <c r="CJ127" s="49"/>
      <c r="CK127" s="49"/>
      <c r="CL127" s="49"/>
      <c r="CM127" s="49"/>
      <c r="CN127" s="49"/>
      <c r="CO127" s="50"/>
      <c r="CP127" s="466"/>
      <c r="CQ127" s="49"/>
      <c r="CR127" s="49"/>
      <c r="CS127" s="49"/>
      <c r="CT127" s="49"/>
      <c r="CU127" s="49"/>
      <c r="CV127" s="50"/>
      <c r="CW127" s="466"/>
      <c r="CX127" s="49"/>
      <c r="CY127" s="49"/>
      <c r="CZ127" s="49"/>
      <c r="DA127" s="49"/>
      <c r="DB127" s="49"/>
      <c r="DC127" s="50"/>
      <c r="DD127" s="466"/>
      <c r="DE127" s="49"/>
      <c r="DF127" s="49"/>
      <c r="DG127" s="49"/>
      <c r="DH127" s="49"/>
      <c r="DI127" s="49"/>
      <c r="DJ127" s="50"/>
      <c r="DK127" s="53"/>
      <c r="DL127" s="43"/>
      <c r="DM127" s="43"/>
      <c r="DN127" s="43"/>
      <c r="DO127" s="43"/>
      <c r="DP127" s="43"/>
      <c r="DQ127" s="43"/>
      <c r="DR127" s="43"/>
      <c r="DS127" s="43"/>
      <c r="DT127" s="43"/>
      <c r="DU127" s="43"/>
      <c r="DV127" s="43"/>
      <c r="DW127" s="43"/>
      <c r="DX127" s="43"/>
      <c r="DY127" s="43"/>
      <c r="DZ127" s="43"/>
      <c r="EA127" s="43"/>
      <c r="EB127" s="43"/>
      <c r="EC127" s="43"/>
      <c r="ED127" s="43"/>
      <c r="EE127" s="43"/>
      <c r="EF127" s="43"/>
      <c r="EG127" s="43"/>
      <c r="EH127" s="43"/>
      <c r="EI127" s="43"/>
      <c r="EJ127" s="43"/>
      <c r="EK127" s="43"/>
      <c r="EL127" s="43"/>
      <c r="EM127" s="43"/>
      <c r="EN127" s="43"/>
      <c r="EO127" s="43"/>
      <c r="EP127" s="43"/>
      <c r="EQ127" s="43"/>
      <c r="ER127" s="43"/>
      <c r="ES127" s="43"/>
      <c r="ET127" s="43"/>
      <c r="EU127" s="43"/>
      <c r="EV127" s="43"/>
      <c r="EW127" s="43"/>
      <c r="EX127" s="43"/>
      <c r="EY127" s="43"/>
      <c r="EZ127" s="43"/>
      <c r="FA127" s="43"/>
      <c r="FB127" s="43"/>
      <c r="FC127" s="43"/>
      <c r="FD127" s="43"/>
      <c r="FE127" s="43"/>
      <c r="FF127" s="43"/>
      <c r="FG127" s="43"/>
      <c r="FH127" s="43"/>
      <c r="FI127" s="43"/>
      <c r="FJ127" s="43"/>
      <c r="FK127" s="43"/>
      <c r="FL127" s="43"/>
      <c r="FM127" s="43"/>
      <c r="FN127" s="43"/>
      <c r="FO127" s="43"/>
      <c r="FP127" s="43"/>
      <c r="FQ127" s="43"/>
      <c r="FR127" s="43"/>
      <c r="FS127" s="43"/>
      <c r="FT127" s="43"/>
      <c r="FU127" s="43"/>
      <c r="FV127" s="43"/>
      <c r="FW127" s="43"/>
      <c r="FX127" s="43"/>
      <c r="FY127" s="43"/>
      <c r="FZ127" s="43"/>
      <c r="GA127" s="43"/>
      <c r="GB127" s="43"/>
      <c r="GC127" s="43"/>
      <c r="GD127" s="43"/>
      <c r="GE127" s="43"/>
      <c r="GF127" s="43"/>
      <c r="GG127" s="43"/>
      <c r="GH127" s="43"/>
      <c r="GI127" s="43"/>
      <c r="GJ127" s="43"/>
      <c r="GK127" s="43"/>
      <c r="GL127" s="43"/>
      <c r="GM127" s="43"/>
      <c r="GN127" s="43"/>
      <c r="GO127" s="43"/>
      <c r="GP127" s="43"/>
      <c r="GQ127" s="43"/>
      <c r="GR127" s="43"/>
      <c r="GS127" s="43"/>
      <c r="GT127" s="43"/>
      <c r="GU127" s="43"/>
      <c r="GV127" s="43"/>
      <c r="GW127" s="43"/>
    </row>
    <row r="128" ht="15.0" customHeight="1">
      <c r="A128" s="318"/>
      <c r="B128" s="470" t="s">
        <v>740</v>
      </c>
      <c r="C128" s="46"/>
      <c r="D128" s="46"/>
      <c r="E128" s="47"/>
      <c r="F128" s="475">
        <f>B126-F126</f>
        <v>0</v>
      </c>
      <c r="G128" s="46"/>
      <c r="H128" s="46"/>
      <c r="I128" s="47"/>
      <c r="J128" s="70"/>
      <c r="K128" s="57"/>
      <c r="L128" s="57"/>
      <c r="M128" s="57"/>
      <c r="N128" s="57"/>
      <c r="O128" s="57"/>
      <c r="P128" s="58"/>
      <c r="Q128" s="70"/>
      <c r="R128" s="57"/>
      <c r="S128" s="57"/>
      <c r="T128" s="57"/>
      <c r="U128" s="57"/>
      <c r="V128" s="57"/>
      <c r="W128" s="58"/>
      <c r="X128" s="70"/>
      <c r="Y128" s="57"/>
      <c r="Z128" s="57"/>
      <c r="AA128" s="57"/>
      <c r="AB128" s="57"/>
      <c r="AC128" s="57"/>
      <c r="AD128" s="58"/>
      <c r="AE128" s="70"/>
      <c r="AF128" s="57"/>
      <c r="AG128" s="57"/>
      <c r="AH128" s="57"/>
      <c r="AI128" s="57"/>
      <c r="AJ128" s="57"/>
      <c r="AK128" s="58"/>
      <c r="AL128" s="70"/>
      <c r="AM128" s="57"/>
      <c r="AN128" s="57"/>
      <c r="AO128" s="57"/>
      <c r="AP128" s="57"/>
      <c r="AQ128" s="57"/>
      <c r="AR128" s="58"/>
      <c r="AS128" s="70"/>
      <c r="AT128" s="57"/>
      <c r="AU128" s="57"/>
      <c r="AV128" s="57"/>
      <c r="AW128" s="57"/>
      <c r="AX128" s="57"/>
      <c r="AY128" s="58"/>
      <c r="AZ128" s="70"/>
      <c r="BA128" s="57"/>
      <c r="BB128" s="57"/>
      <c r="BC128" s="57"/>
      <c r="BD128" s="57"/>
      <c r="BE128" s="57"/>
      <c r="BF128" s="58"/>
      <c r="BG128" s="70"/>
      <c r="BH128" s="57"/>
      <c r="BI128" s="57"/>
      <c r="BJ128" s="57"/>
      <c r="BK128" s="57"/>
      <c r="BL128" s="57"/>
      <c r="BM128" s="58"/>
      <c r="BN128" s="70"/>
      <c r="BO128" s="57"/>
      <c r="BP128" s="57"/>
      <c r="BQ128" s="57"/>
      <c r="BR128" s="57"/>
      <c r="BS128" s="57"/>
      <c r="BT128" s="58"/>
      <c r="BU128" s="70"/>
      <c r="BV128" s="57"/>
      <c r="BW128" s="57"/>
      <c r="BX128" s="57"/>
      <c r="BY128" s="57"/>
      <c r="BZ128" s="57"/>
      <c r="CA128" s="58"/>
      <c r="CB128" s="70"/>
      <c r="CC128" s="57"/>
      <c r="CD128" s="57"/>
      <c r="CE128" s="57"/>
      <c r="CF128" s="57"/>
      <c r="CG128" s="57"/>
      <c r="CH128" s="58"/>
      <c r="CI128" s="70"/>
      <c r="CJ128" s="57"/>
      <c r="CK128" s="57"/>
      <c r="CL128" s="57"/>
      <c r="CM128" s="57"/>
      <c r="CN128" s="57"/>
      <c r="CO128" s="58"/>
      <c r="CP128" s="70"/>
      <c r="CQ128" s="57"/>
      <c r="CR128" s="57"/>
      <c r="CS128" s="57"/>
      <c r="CT128" s="57"/>
      <c r="CU128" s="57"/>
      <c r="CV128" s="58"/>
      <c r="CW128" s="70"/>
      <c r="CX128" s="57"/>
      <c r="CY128" s="57"/>
      <c r="CZ128" s="57"/>
      <c r="DA128" s="57"/>
      <c r="DB128" s="57"/>
      <c r="DC128" s="58"/>
      <c r="DD128" s="70"/>
      <c r="DE128" s="57"/>
      <c r="DF128" s="57"/>
      <c r="DG128" s="57"/>
      <c r="DH128" s="57"/>
      <c r="DI128" s="57"/>
      <c r="DJ128" s="58"/>
      <c r="DK128" s="53"/>
      <c r="DL128" s="43"/>
      <c r="DM128" s="43"/>
      <c r="DN128" s="43"/>
      <c r="DO128" s="43"/>
      <c r="DP128" s="43"/>
      <c r="DQ128" s="43"/>
      <c r="DR128" s="43"/>
      <c r="DS128" s="43"/>
      <c r="DT128" s="43"/>
      <c r="DU128" s="43"/>
      <c r="DV128" s="43"/>
      <c r="DW128" s="43"/>
      <c r="DX128" s="43"/>
      <c r="DY128" s="43"/>
      <c r="DZ128" s="43"/>
      <c r="EA128" s="43"/>
      <c r="EB128" s="43"/>
      <c r="EC128" s="43"/>
      <c r="ED128" s="43"/>
      <c r="EE128" s="43"/>
      <c r="EF128" s="43"/>
      <c r="EG128" s="43"/>
      <c r="EH128" s="43"/>
      <c r="EI128" s="43"/>
      <c r="EJ128" s="43"/>
      <c r="EK128" s="43"/>
      <c r="EL128" s="43"/>
      <c r="EM128" s="43"/>
      <c r="EN128" s="43"/>
      <c r="EO128" s="43"/>
      <c r="EP128" s="43"/>
      <c r="EQ128" s="43"/>
      <c r="ER128" s="43"/>
      <c r="ES128" s="43"/>
      <c r="ET128" s="43"/>
      <c r="EU128" s="43"/>
      <c r="EV128" s="43"/>
      <c r="EW128" s="43"/>
      <c r="EX128" s="43"/>
      <c r="EY128" s="43"/>
      <c r="EZ128" s="43"/>
      <c r="FA128" s="43"/>
      <c r="FB128" s="43"/>
      <c r="FC128" s="43"/>
      <c r="FD128" s="43"/>
      <c r="FE128" s="43"/>
      <c r="FF128" s="43"/>
      <c r="FG128" s="43"/>
      <c r="FH128" s="43"/>
      <c r="FI128" s="43"/>
      <c r="FJ128" s="43"/>
      <c r="FK128" s="43"/>
      <c r="FL128" s="43"/>
      <c r="FM128" s="43"/>
      <c r="FN128" s="43"/>
      <c r="FO128" s="43"/>
      <c r="FP128" s="43"/>
      <c r="FQ128" s="43"/>
      <c r="FR128" s="43"/>
      <c r="FS128" s="43"/>
      <c r="FT128" s="43"/>
      <c r="FU128" s="43"/>
      <c r="FV128" s="43"/>
      <c r="FW128" s="43"/>
      <c r="FX128" s="43"/>
      <c r="FY128" s="43"/>
      <c r="FZ128" s="43"/>
      <c r="GA128" s="43"/>
      <c r="GB128" s="43"/>
      <c r="GC128" s="43"/>
      <c r="GD128" s="43"/>
      <c r="GE128" s="43"/>
      <c r="GF128" s="43"/>
      <c r="GG128" s="43"/>
      <c r="GH128" s="43"/>
      <c r="GI128" s="43"/>
      <c r="GJ128" s="43"/>
      <c r="GK128" s="43"/>
      <c r="GL128" s="43"/>
      <c r="GM128" s="43"/>
      <c r="GN128" s="43"/>
      <c r="GO128" s="43"/>
      <c r="GP128" s="43"/>
      <c r="GQ128" s="43"/>
      <c r="GR128" s="43"/>
      <c r="GS128" s="43"/>
      <c r="GT128" s="43"/>
      <c r="GU128" s="43"/>
      <c r="GV128" s="43"/>
      <c r="GW128" s="43"/>
    </row>
    <row r="129" ht="15.0" customHeight="1">
      <c r="A129" s="460"/>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AP129" s="36"/>
      <c r="AQ129" s="36"/>
      <c r="AR129" s="36"/>
      <c r="AS129" s="36"/>
      <c r="AT129" s="36"/>
      <c r="AU129" s="36"/>
      <c r="AV129" s="36"/>
      <c r="AW129" s="36"/>
      <c r="AX129" s="36"/>
      <c r="AY129" s="36"/>
      <c r="AZ129" s="36"/>
      <c r="BA129" s="36"/>
      <c r="BB129" s="36"/>
      <c r="BC129" s="36"/>
      <c r="BD129" s="36"/>
      <c r="BE129" s="36"/>
      <c r="BF129" s="36"/>
      <c r="BG129" s="36"/>
      <c r="BH129" s="36"/>
      <c r="BI129" s="36"/>
      <c r="BJ129" s="36"/>
      <c r="BK129" s="36"/>
      <c r="BL129" s="36"/>
      <c r="BM129" s="36"/>
      <c r="BN129" s="36"/>
      <c r="BO129" s="36"/>
      <c r="BP129" s="36"/>
      <c r="BQ129" s="36"/>
      <c r="BR129" s="36"/>
      <c r="BS129" s="36"/>
      <c r="BT129" s="36"/>
      <c r="BU129" s="36"/>
      <c r="BV129" s="36"/>
      <c r="BW129" s="36"/>
      <c r="BX129" s="36"/>
      <c r="BY129" s="36"/>
      <c r="BZ129" s="36"/>
      <c r="CA129" s="36"/>
      <c r="CB129" s="36"/>
      <c r="CC129" s="36"/>
      <c r="CD129" s="36"/>
      <c r="CE129" s="36"/>
      <c r="CF129" s="36"/>
      <c r="CG129" s="36"/>
      <c r="CH129" s="36"/>
      <c r="CI129" s="36"/>
      <c r="CJ129" s="36"/>
      <c r="CK129" s="36"/>
      <c r="CL129" s="36"/>
      <c r="CM129" s="36"/>
      <c r="CN129" s="36"/>
      <c r="CO129" s="36"/>
      <c r="CP129" s="36"/>
      <c r="CQ129" s="36"/>
      <c r="CR129" s="36"/>
      <c r="CS129" s="36"/>
      <c r="CT129" s="36"/>
      <c r="CU129" s="36"/>
      <c r="CV129" s="36"/>
      <c r="CW129" s="36"/>
      <c r="CX129" s="36"/>
      <c r="CY129" s="36"/>
      <c r="CZ129" s="36"/>
      <c r="DA129" s="36"/>
      <c r="DB129" s="36"/>
      <c r="DC129" s="36"/>
      <c r="DD129" s="36"/>
      <c r="DE129" s="36"/>
      <c r="DF129" s="36"/>
      <c r="DG129" s="36"/>
      <c r="DH129" s="36"/>
      <c r="DI129" s="36"/>
      <c r="DJ129" s="36"/>
      <c r="DK129" s="109"/>
      <c r="DL129" s="43"/>
      <c r="DM129" s="43"/>
      <c r="DN129" s="43"/>
      <c r="DO129" s="43"/>
      <c r="DP129" s="43"/>
      <c r="DQ129" s="43"/>
      <c r="DR129" s="43"/>
      <c r="DS129" s="43"/>
      <c r="DT129" s="43"/>
      <c r="DU129" s="43"/>
      <c r="DV129" s="43"/>
      <c r="DW129" s="43"/>
      <c r="DX129" s="43"/>
      <c r="DY129" s="43"/>
      <c r="DZ129" s="43"/>
      <c r="EA129" s="43"/>
      <c r="EB129" s="43"/>
      <c r="EC129" s="43"/>
      <c r="ED129" s="43"/>
      <c r="EE129" s="43"/>
      <c r="EF129" s="43"/>
      <c r="EG129" s="43"/>
      <c r="EH129" s="43"/>
      <c r="EI129" s="43"/>
      <c r="EJ129" s="43"/>
      <c r="EK129" s="43"/>
      <c r="EL129" s="43"/>
      <c r="EM129" s="43"/>
      <c r="EN129" s="43"/>
      <c r="EO129" s="43"/>
      <c r="EP129" s="43"/>
      <c r="EQ129" s="43"/>
      <c r="ER129" s="43"/>
      <c r="ES129" s="43"/>
      <c r="ET129" s="43"/>
      <c r="EU129" s="43"/>
      <c r="EV129" s="43"/>
      <c r="EW129" s="43"/>
      <c r="EX129" s="43"/>
      <c r="EY129" s="43"/>
      <c r="EZ129" s="43"/>
      <c r="FA129" s="43"/>
      <c r="FB129" s="43"/>
      <c r="FC129" s="43"/>
      <c r="FD129" s="43"/>
      <c r="FE129" s="43"/>
      <c r="FF129" s="43"/>
      <c r="FG129" s="43"/>
      <c r="FH129" s="43"/>
      <c r="FI129" s="43"/>
      <c r="FJ129" s="43"/>
      <c r="FK129" s="43"/>
      <c r="FL129" s="43"/>
      <c r="FM129" s="43"/>
      <c r="FN129" s="43"/>
      <c r="FO129" s="43"/>
      <c r="FP129" s="43"/>
      <c r="FQ129" s="43"/>
      <c r="FR129" s="43"/>
      <c r="FS129" s="43"/>
      <c r="FT129" s="43"/>
      <c r="FU129" s="43"/>
      <c r="FV129" s="43"/>
      <c r="FW129" s="43"/>
      <c r="FX129" s="43"/>
      <c r="FY129" s="43"/>
      <c r="FZ129" s="43"/>
      <c r="GA129" s="43"/>
      <c r="GB129" s="43"/>
      <c r="GC129" s="43"/>
      <c r="GD129" s="43"/>
      <c r="GE129" s="43"/>
      <c r="GF129" s="43"/>
      <c r="GG129" s="43"/>
      <c r="GH129" s="43"/>
      <c r="GI129" s="43"/>
      <c r="GJ129" s="43"/>
      <c r="GK129" s="43"/>
      <c r="GL129" s="43"/>
      <c r="GM129" s="43"/>
      <c r="GN129" s="43"/>
      <c r="GO129" s="43"/>
      <c r="GP129" s="43"/>
      <c r="GQ129" s="43"/>
      <c r="GR129" s="43"/>
      <c r="GS129" s="43"/>
      <c r="GT129" s="43"/>
      <c r="GU129" s="43"/>
      <c r="GV129" s="43"/>
      <c r="GW129" s="43"/>
    </row>
    <row r="130" ht="15.0" customHeight="1">
      <c r="A130" s="44"/>
      <c r="B130" s="64" t="s">
        <v>741</v>
      </c>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c r="AC130" s="49"/>
      <c r="AD130" s="49"/>
      <c r="AE130" s="50"/>
      <c r="AF130" s="53"/>
      <c r="AG130" s="480" t="s">
        <v>742</v>
      </c>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c r="BU130" s="46"/>
      <c r="BV130" s="46"/>
      <c r="BW130" s="46"/>
      <c r="BX130" s="46"/>
      <c r="BY130" s="47"/>
      <c r="BZ130" s="53"/>
      <c r="CA130" s="480" t="s">
        <v>745</v>
      </c>
      <c r="CB130" s="46"/>
      <c r="CC130" s="46"/>
      <c r="CD130" s="46"/>
      <c r="CE130" s="46"/>
      <c r="CF130" s="46"/>
      <c r="CG130" s="46"/>
      <c r="CH130" s="46"/>
      <c r="CI130" s="46"/>
      <c r="CJ130" s="46"/>
      <c r="CK130" s="46"/>
      <c r="CL130" s="46"/>
      <c r="CM130" s="46"/>
      <c r="CN130" s="46"/>
      <c r="CO130" s="46"/>
      <c r="CP130" s="46"/>
      <c r="CQ130" s="46"/>
      <c r="CR130" s="46"/>
      <c r="CS130" s="46"/>
      <c r="CT130" s="46"/>
      <c r="CU130" s="46"/>
      <c r="CV130" s="46"/>
      <c r="CW130" s="46"/>
      <c r="CX130" s="46"/>
      <c r="CY130" s="46"/>
      <c r="CZ130" s="46"/>
      <c r="DA130" s="46"/>
      <c r="DB130" s="46"/>
      <c r="DC130" s="46"/>
      <c r="DD130" s="46"/>
      <c r="DE130" s="46"/>
      <c r="DF130" s="46"/>
      <c r="DG130" s="46"/>
      <c r="DH130" s="46"/>
      <c r="DI130" s="46"/>
      <c r="DJ130" s="47"/>
      <c r="DK130" s="53"/>
      <c r="DL130" s="43"/>
      <c r="DM130" s="43"/>
      <c r="DN130" s="43"/>
      <c r="DO130" s="43"/>
      <c r="DP130" s="43"/>
      <c r="DQ130" s="43"/>
      <c r="DR130" s="43"/>
      <c r="DS130" s="43"/>
      <c r="DT130" s="43"/>
      <c r="DU130" s="43"/>
      <c r="DV130" s="43"/>
      <c r="DW130" s="43"/>
      <c r="DX130" s="43"/>
      <c r="DY130" s="43"/>
      <c r="DZ130" s="43"/>
      <c r="EA130" s="43"/>
      <c r="EB130" s="43"/>
      <c r="EC130" s="43"/>
      <c r="ED130" s="43"/>
      <c r="EE130" s="43"/>
      <c r="EF130" s="43"/>
      <c r="EG130" s="43"/>
      <c r="EH130" s="43"/>
      <c r="EI130" s="43"/>
      <c r="EJ130" s="43"/>
      <c r="EK130" s="43"/>
      <c r="EL130" s="43"/>
      <c r="EM130" s="43"/>
      <c r="EN130" s="43"/>
      <c r="EO130" s="43"/>
      <c r="EP130" s="43"/>
      <c r="EQ130" s="43"/>
      <c r="ER130" s="43"/>
      <c r="ES130" s="43"/>
      <c r="ET130" s="43"/>
      <c r="EU130" s="43"/>
      <c r="EV130" s="43"/>
      <c r="EW130" s="43"/>
      <c r="EX130" s="43"/>
      <c r="EY130" s="43"/>
      <c r="EZ130" s="43"/>
      <c r="FA130" s="43"/>
      <c r="FB130" s="43"/>
      <c r="FC130" s="43"/>
      <c r="FD130" s="43"/>
      <c r="FE130" s="43"/>
      <c r="FF130" s="43"/>
      <c r="FG130" s="43"/>
      <c r="FH130" s="43"/>
      <c r="FI130" s="43"/>
      <c r="FJ130" s="43"/>
      <c r="FK130" s="43"/>
      <c r="FL130" s="43"/>
      <c r="FM130" s="43"/>
      <c r="FN130" s="43"/>
      <c r="FO130" s="43"/>
      <c r="FP130" s="43"/>
      <c r="FQ130" s="43"/>
      <c r="FR130" s="43"/>
      <c r="FS130" s="43"/>
      <c r="FT130" s="43"/>
      <c r="FU130" s="43"/>
      <c r="FV130" s="43"/>
      <c r="FW130" s="43"/>
      <c r="FX130" s="43"/>
      <c r="FY130" s="43"/>
      <c r="FZ130" s="43"/>
      <c r="GA130" s="43"/>
      <c r="GB130" s="43"/>
      <c r="GC130" s="43"/>
      <c r="GD130" s="43"/>
      <c r="GE130" s="43"/>
      <c r="GF130" s="43"/>
      <c r="GG130" s="43"/>
      <c r="GH130" s="43"/>
      <c r="GI130" s="43"/>
      <c r="GJ130" s="43"/>
      <c r="GK130" s="43"/>
      <c r="GL130" s="43"/>
      <c r="GM130" s="43"/>
      <c r="GN130" s="43"/>
      <c r="GO130" s="43"/>
      <c r="GP130" s="43"/>
      <c r="GQ130" s="43"/>
      <c r="GR130" s="43"/>
      <c r="GS130" s="43"/>
      <c r="GT130" s="43"/>
      <c r="GU130" s="43"/>
      <c r="GV130" s="43"/>
      <c r="GW130" s="43"/>
    </row>
    <row r="131" ht="15.0" customHeight="1">
      <c r="A131" s="318"/>
      <c r="B131" s="70"/>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8"/>
      <c r="AF131" s="53"/>
      <c r="AG131" s="307"/>
      <c r="AH131" s="49"/>
      <c r="AI131" s="49"/>
      <c r="AJ131" s="49"/>
      <c r="AK131" s="50"/>
      <c r="AL131" s="307"/>
      <c r="AM131" s="49"/>
      <c r="AN131" s="49"/>
      <c r="AO131" s="49"/>
      <c r="AP131" s="50"/>
      <c r="AQ131" s="307"/>
      <c r="AR131" s="49"/>
      <c r="AS131" s="49"/>
      <c r="AT131" s="49"/>
      <c r="AU131" s="50"/>
      <c r="AV131" s="307"/>
      <c r="AW131" s="49"/>
      <c r="AX131" s="49"/>
      <c r="AY131" s="49"/>
      <c r="AZ131" s="50"/>
      <c r="BA131" s="307"/>
      <c r="BB131" s="49"/>
      <c r="BC131" s="49"/>
      <c r="BD131" s="49"/>
      <c r="BE131" s="50"/>
      <c r="BF131" s="307"/>
      <c r="BG131" s="49"/>
      <c r="BH131" s="49"/>
      <c r="BI131" s="49"/>
      <c r="BJ131" s="50"/>
      <c r="BK131" s="307"/>
      <c r="BL131" s="49"/>
      <c r="BM131" s="49"/>
      <c r="BN131" s="49"/>
      <c r="BO131" s="50"/>
      <c r="BP131" s="307"/>
      <c r="BQ131" s="49"/>
      <c r="BR131" s="49"/>
      <c r="BS131" s="49"/>
      <c r="BT131" s="50"/>
      <c r="BU131" s="307"/>
      <c r="BV131" s="49"/>
      <c r="BW131" s="49"/>
      <c r="BX131" s="49"/>
      <c r="BY131" s="50"/>
      <c r="BZ131" s="53"/>
      <c r="CA131" s="307"/>
      <c r="CB131" s="49"/>
      <c r="CC131" s="49"/>
      <c r="CD131" s="49"/>
      <c r="CE131" s="49"/>
      <c r="CF131" s="50"/>
      <c r="CG131" s="73"/>
      <c r="CH131" s="49"/>
      <c r="CI131" s="49"/>
      <c r="CJ131" s="49"/>
      <c r="CK131" s="49"/>
      <c r="CL131" s="50"/>
      <c r="CM131" s="73"/>
      <c r="CN131" s="49"/>
      <c r="CO131" s="49"/>
      <c r="CP131" s="49"/>
      <c r="CQ131" s="49"/>
      <c r="CR131" s="50"/>
      <c r="CS131" s="73"/>
      <c r="CT131" s="49"/>
      <c r="CU131" s="49"/>
      <c r="CV131" s="49"/>
      <c r="CW131" s="49"/>
      <c r="CX131" s="50"/>
      <c r="CY131" s="73"/>
      <c r="CZ131" s="49"/>
      <c r="DA131" s="49"/>
      <c r="DB131" s="49"/>
      <c r="DC131" s="49"/>
      <c r="DD131" s="50"/>
      <c r="DE131" s="73"/>
      <c r="DF131" s="49"/>
      <c r="DG131" s="49"/>
      <c r="DH131" s="49"/>
      <c r="DI131" s="49"/>
      <c r="DJ131" s="50"/>
      <c r="DK131" s="53"/>
      <c r="DL131" s="43"/>
      <c r="DM131" s="43"/>
      <c r="DN131" s="43"/>
      <c r="DO131" s="43"/>
      <c r="DP131" s="43"/>
      <c r="DQ131" s="43"/>
      <c r="DR131" s="43"/>
      <c r="DS131" s="43"/>
      <c r="DT131" s="43"/>
      <c r="DU131" s="43"/>
      <c r="DV131" s="43"/>
      <c r="DW131" s="43"/>
      <c r="DX131" s="43"/>
      <c r="DY131" s="43"/>
      <c r="DZ131" s="43"/>
      <c r="EA131" s="43"/>
      <c r="EB131" s="43"/>
      <c r="EC131" s="43"/>
      <c r="ED131" s="43"/>
      <c r="EE131" s="43"/>
      <c r="EF131" s="43"/>
      <c r="EG131" s="43"/>
      <c r="EH131" s="43"/>
      <c r="EI131" s="43"/>
      <c r="EJ131" s="43"/>
      <c r="EK131" s="43"/>
      <c r="EL131" s="43"/>
      <c r="EM131" s="43"/>
      <c r="EN131" s="43"/>
      <c r="EO131" s="43"/>
      <c r="EP131" s="43"/>
      <c r="EQ131" s="43"/>
      <c r="ER131" s="43"/>
      <c r="ES131" s="43"/>
      <c r="ET131" s="43"/>
      <c r="EU131" s="43"/>
      <c r="EV131" s="43"/>
      <c r="EW131" s="43"/>
      <c r="EX131" s="43"/>
      <c r="EY131" s="43"/>
      <c r="EZ131" s="43"/>
      <c r="FA131" s="43"/>
      <c r="FB131" s="43"/>
      <c r="FC131" s="43"/>
      <c r="FD131" s="43"/>
      <c r="FE131" s="43"/>
      <c r="FF131" s="43"/>
      <c r="FG131" s="43"/>
      <c r="FH131" s="43"/>
      <c r="FI131" s="43"/>
      <c r="FJ131" s="43"/>
      <c r="FK131" s="43"/>
      <c r="FL131" s="43"/>
      <c r="FM131" s="43"/>
      <c r="FN131" s="43"/>
      <c r="FO131" s="43"/>
      <c r="FP131" s="43"/>
      <c r="FQ131" s="43"/>
      <c r="FR131" s="43"/>
      <c r="FS131" s="43"/>
      <c r="FT131" s="43"/>
      <c r="FU131" s="43"/>
      <c r="FV131" s="43"/>
      <c r="FW131" s="43"/>
      <c r="FX131" s="43"/>
      <c r="FY131" s="43"/>
      <c r="FZ131" s="43"/>
      <c r="GA131" s="43"/>
      <c r="GB131" s="43"/>
      <c r="GC131" s="43"/>
      <c r="GD131" s="43"/>
      <c r="GE131" s="43"/>
      <c r="GF131" s="43"/>
      <c r="GG131" s="43"/>
      <c r="GH131" s="43"/>
      <c r="GI131" s="43"/>
      <c r="GJ131" s="43"/>
      <c r="GK131" s="43"/>
      <c r="GL131" s="43"/>
      <c r="GM131" s="43"/>
      <c r="GN131" s="43"/>
      <c r="GO131" s="43"/>
      <c r="GP131" s="43"/>
      <c r="GQ131" s="43"/>
      <c r="GR131" s="43"/>
      <c r="GS131" s="43"/>
      <c r="GT131" s="43"/>
      <c r="GU131" s="43"/>
      <c r="GV131" s="43"/>
      <c r="GW131" s="43"/>
    </row>
    <row r="132" ht="15.0" customHeight="1">
      <c r="A132" s="318"/>
      <c r="B132" s="481" t="s">
        <v>748</v>
      </c>
      <c r="C132" s="49"/>
      <c r="D132" s="49"/>
      <c r="E132" s="50"/>
      <c r="F132" s="73"/>
      <c r="G132" s="49"/>
      <c r="H132" s="49"/>
      <c r="I132" s="49"/>
      <c r="J132" s="49"/>
      <c r="K132" s="49"/>
      <c r="L132" s="49"/>
      <c r="M132" s="49"/>
      <c r="N132" s="49"/>
      <c r="O132" s="49"/>
      <c r="P132" s="50"/>
      <c r="Q132" s="481" t="s">
        <v>749</v>
      </c>
      <c r="R132" s="49"/>
      <c r="S132" s="49"/>
      <c r="T132" s="50"/>
      <c r="U132" s="73"/>
      <c r="V132" s="49"/>
      <c r="W132" s="49"/>
      <c r="X132" s="49"/>
      <c r="Y132" s="49"/>
      <c r="Z132" s="49"/>
      <c r="AA132" s="49"/>
      <c r="AB132" s="49"/>
      <c r="AC132" s="49"/>
      <c r="AD132" s="49"/>
      <c r="AE132" s="50"/>
      <c r="AF132" s="53"/>
      <c r="AG132" s="70"/>
      <c r="AH132" s="57"/>
      <c r="AI132" s="57"/>
      <c r="AJ132" s="57"/>
      <c r="AK132" s="58"/>
      <c r="AL132" s="70"/>
      <c r="AM132" s="57"/>
      <c r="AN132" s="57"/>
      <c r="AO132" s="57"/>
      <c r="AP132" s="58"/>
      <c r="AQ132" s="70"/>
      <c r="AR132" s="57"/>
      <c r="AS132" s="57"/>
      <c r="AT132" s="57"/>
      <c r="AU132" s="58"/>
      <c r="AV132" s="70"/>
      <c r="AW132" s="57"/>
      <c r="AX132" s="57"/>
      <c r="AY132" s="57"/>
      <c r="AZ132" s="58"/>
      <c r="BA132" s="70"/>
      <c r="BB132" s="57"/>
      <c r="BC132" s="57"/>
      <c r="BD132" s="57"/>
      <c r="BE132" s="58"/>
      <c r="BF132" s="70"/>
      <c r="BG132" s="57"/>
      <c r="BH132" s="57"/>
      <c r="BI132" s="57"/>
      <c r="BJ132" s="58"/>
      <c r="BK132" s="70"/>
      <c r="BL132" s="57"/>
      <c r="BM132" s="57"/>
      <c r="BN132" s="57"/>
      <c r="BO132" s="58"/>
      <c r="BP132" s="70"/>
      <c r="BQ132" s="57"/>
      <c r="BR132" s="57"/>
      <c r="BS132" s="57"/>
      <c r="BT132" s="58"/>
      <c r="BU132" s="70"/>
      <c r="BV132" s="57"/>
      <c r="BW132" s="57"/>
      <c r="BX132" s="57"/>
      <c r="BY132" s="58"/>
      <c r="BZ132" s="53"/>
      <c r="CA132" s="70"/>
      <c r="CB132" s="57"/>
      <c r="CC132" s="57"/>
      <c r="CD132" s="57"/>
      <c r="CE132" s="57"/>
      <c r="CF132" s="58"/>
      <c r="CG132" s="70"/>
      <c r="CH132" s="57"/>
      <c r="CI132" s="57"/>
      <c r="CJ132" s="57"/>
      <c r="CK132" s="57"/>
      <c r="CL132" s="58"/>
      <c r="CM132" s="70"/>
      <c r="CN132" s="57"/>
      <c r="CO132" s="57"/>
      <c r="CP132" s="57"/>
      <c r="CQ132" s="57"/>
      <c r="CR132" s="58"/>
      <c r="CS132" s="70"/>
      <c r="CT132" s="57"/>
      <c r="CU132" s="57"/>
      <c r="CV132" s="57"/>
      <c r="CW132" s="57"/>
      <c r="CX132" s="58"/>
      <c r="CY132" s="70"/>
      <c r="CZ132" s="57"/>
      <c r="DA132" s="57"/>
      <c r="DB132" s="57"/>
      <c r="DC132" s="57"/>
      <c r="DD132" s="58"/>
      <c r="DE132" s="70"/>
      <c r="DF132" s="57"/>
      <c r="DG132" s="57"/>
      <c r="DH132" s="57"/>
      <c r="DI132" s="57"/>
      <c r="DJ132" s="58"/>
      <c r="DK132" s="53"/>
      <c r="DL132" s="43"/>
      <c r="DM132" s="43"/>
      <c r="DN132" s="43"/>
      <c r="DO132" s="43"/>
      <c r="DP132" s="43"/>
      <c r="DQ132" s="43"/>
      <c r="DR132" s="43"/>
      <c r="DS132" s="43"/>
      <c r="DT132" s="43"/>
      <c r="DU132" s="43"/>
      <c r="DV132" s="43"/>
      <c r="DW132" s="43"/>
      <c r="DX132" s="43"/>
      <c r="DY132" s="43"/>
      <c r="DZ132" s="43"/>
      <c r="EA132" s="43"/>
      <c r="EB132" s="43"/>
      <c r="EC132" s="43"/>
      <c r="ED132" s="43"/>
      <c r="EE132" s="43"/>
      <c r="EF132" s="43"/>
      <c r="EG132" s="43"/>
      <c r="EH132" s="43"/>
      <c r="EI132" s="43"/>
      <c r="EJ132" s="43"/>
      <c r="EK132" s="43"/>
      <c r="EL132" s="43"/>
      <c r="EM132" s="43"/>
      <c r="EN132" s="43"/>
      <c r="EO132" s="43"/>
      <c r="EP132" s="43"/>
      <c r="EQ132" s="43"/>
      <c r="ER132" s="43"/>
      <c r="ES132" s="43"/>
      <c r="ET132" s="43"/>
      <c r="EU132" s="43"/>
      <c r="EV132" s="43"/>
      <c r="EW132" s="43"/>
      <c r="EX132" s="43"/>
      <c r="EY132" s="43"/>
      <c r="EZ132" s="43"/>
      <c r="FA132" s="43"/>
      <c r="FB132" s="43"/>
      <c r="FC132" s="43"/>
      <c r="FD132" s="43"/>
      <c r="FE132" s="43"/>
      <c r="FF132" s="43"/>
      <c r="FG132" s="43"/>
      <c r="FH132" s="43"/>
      <c r="FI132" s="43"/>
      <c r="FJ132" s="43"/>
      <c r="FK132" s="43"/>
      <c r="FL132" s="43"/>
      <c r="FM132" s="43"/>
      <c r="FN132" s="43"/>
      <c r="FO132" s="43"/>
      <c r="FP132" s="43"/>
      <c r="FQ132" s="43"/>
      <c r="FR132" s="43"/>
      <c r="FS132" s="43"/>
      <c r="FT132" s="43"/>
      <c r="FU132" s="43"/>
      <c r="FV132" s="43"/>
      <c r="FW132" s="43"/>
      <c r="FX132" s="43"/>
      <c r="FY132" s="43"/>
      <c r="FZ132" s="43"/>
      <c r="GA132" s="43"/>
      <c r="GB132" s="43"/>
      <c r="GC132" s="43"/>
      <c r="GD132" s="43"/>
      <c r="GE132" s="43"/>
      <c r="GF132" s="43"/>
      <c r="GG132" s="43"/>
      <c r="GH132" s="43"/>
      <c r="GI132" s="43"/>
      <c r="GJ132" s="43"/>
      <c r="GK132" s="43"/>
      <c r="GL132" s="43"/>
      <c r="GM132" s="43"/>
      <c r="GN132" s="43"/>
      <c r="GO132" s="43"/>
      <c r="GP132" s="43"/>
      <c r="GQ132" s="43"/>
      <c r="GR132" s="43"/>
      <c r="GS132" s="43"/>
      <c r="GT132" s="43"/>
      <c r="GU132" s="43"/>
      <c r="GV132" s="43"/>
      <c r="GW132" s="43"/>
    </row>
    <row r="133" ht="15.0" customHeight="1">
      <c r="A133" s="318"/>
      <c r="B133" s="70"/>
      <c r="C133" s="57"/>
      <c r="D133" s="57"/>
      <c r="E133" s="58"/>
      <c r="F133" s="70"/>
      <c r="G133" s="57"/>
      <c r="H133" s="57"/>
      <c r="I133" s="57"/>
      <c r="J133" s="57"/>
      <c r="K133" s="57"/>
      <c r="L133" s="57"/>
      <c r="M133" s="57"/>
      <c r="N133" s="57"/>
      <c r="O133" s="57"/>
      <c r="P133" s="58"/>
      <c r="Q133" s="70"/>
      <c r="R133" s="57"/>
      <c r="S133" s="57"/>
      <c r="T133" s="58"/>
      <c r="U133" s="70"/>
      <c r="V133" s="57"/>
      <c r="W133" s="57"/>
      <c r="X133" s="57"/>
      <c r="Y133" s="57"/>
      <c r="Z133" s="57"/>
      <c r="AA133" s="57"/>
      <c r="AB133" s="57"/>
      <c r="AC133" s="57"/>
      <c r="AD133" s="57"/>
      <c r="AE133" s="58"/>
      <c r="AF133" s="43"/>
      <c r="AG133" s="307"/>
      <c r="AH133" s="49"/>
      <c r="AI133" s="49"/>
      <c r="AJ133" s="49"/>
      <c r="AK133" s="50"/>
      <c r="AL133" s="307"/>
      <c r="AM133" s="49"/>
      <c r="AN133" s="49"/>
      <c r="AO133" s="49"/>
      <c r="AP133" s="50"/>
      <c r="AQ133" s="307"/>
      <c r="AR133" s="49"/>
      <c r="AS133" s="49"/>
      <c r="AT133" s="49"/>
      <c r="AU133" s="50"/>
      <c r="AV133" s="307"/>
      <c r="AW133" s="49"/>
      <c r="AX133" s="49"/>
      <c r="AY133" s="49"/>
      <c r="AZ133" s="50"/>
      <c r="BA133" s="307"/>
      <c r="BB133" s="49"/>
      <c r="BC133" s="49"/>
      <c r="BD133" s="49"/>
      <c r="BE133" s="50"/>
      <c r="BF133" s="307"/>
      <c r="BG133" s="49"/>
      <c r="BH133" s="49"/>
      <c r="BI133" s="49"/>
      <c r="BJ133" s="50"/>
      <c r="BK133" s="307"/>
      <c r="BL133" s="49"/>
      <c r="BM133" s="49"/>
      <c r="BN133" s="49"/>
      <c r="BO133" s="50"/>
      <c r="BP133" s="307"/>
      <c r="BQ133" s="49"/>
      <c r="BR133" s="49"/>
      <c r="BS133" s="49"/>
      <c r="BT133" s="50"/>
      <c r="BU133" s="307"/>
      <c r="BV133" s="49"/>
      <c r="BW133" s="49"/>
      <c r="BX133" s="49"/>
      <c r="BY133" s="50"/>
      <c r="BZ133" s="482"/>
      <c r="CA133" s="307"/>
      <c r="CB133" s="49"/>
      <c r="CC133" s="49"/>
      <c r="CD133" s="49"/>
      <c r="CE133" s="49"/>
      <c r="CF133" s="50"/>
      <c r="CG133" s="73"/>
      <c r="CH133" s="49"/>
      <c r="CI133" s="49"/>
      <c r="CJ133" s="49"/>
      <c r="CK133" s="49"/>
      <c r="CL133" s="50"/>
      <c r="CM133" s="73"/>
      <c r="CN133" s="49"/>
      <c r="CO133" s="49"/>
      <c r="CP133" s="49"/>
      <c r="CQ133" s="49"/>
      <c r="CR133" s="50"/>
      <c r="CS133" s="73"/>
      <c r="CT133" s="49"/>
      <c r="CU133" s="49"/>
      <c r="CV133" s="49"/>
      <c r="CW133" s="49"/>
      <c r="CX133" s="50"/>
      <c r="CY133" s="73"/>
      <c r="CZ133" s="49"/>
      <c r="DA133" s="49"/>
      <c r="DB133" s="49"/>
      <c r="DC133" s="49"/>
      <c r="DD133" s="50"/>
      <c r="DE133" s="73"/>
      <c r="DF133" s="49"/>
      <c r="DG133" s="49"/>
      <c r="DH133" s="49"/>
      <c r="DI133" s="49"/>
      <c r="DJ133" s="50"/>
      <c r="DK133" s="53"/>
      <c r="DL133" s="43"/>
      <c r="DM133" s="43"/>
      <c r="DN133" s="43"/>
      <c r="DO133" s="43"/>
      <c r="DP133" s="43"/>
      <c r="DQ133" s="43"/>
      <c r="DR133" s="43"/>
      <c r="DS133" s="43"/>
      <c r="DT133" s="43"/>
      <c r="DU133" s="43"/>
      <c r="DV133" s="43"/>
      <c r="DW133" s="43"/>
      <c r="DX133" s="43"/>
      <c r="DY133" s="43"/>
      <c r="DZ133" s="43"/>
      <c r="EA133" s="43"/>
      <c r="EB133" s="43"/>
      <c r="EC133" s="43"/>
      <c r="ED133" s="43"/>
      <c r="EE133" s="43"/>
      <c r="EF133" s="43"/>
      <c r="EG133" s="43"/>
      <c r="EH133" s="43"/>
      <c r="EI133" s="43"/>
      <c r="EJ133" s="43"/>
      <c r="EK133" s="43"/>
      <c r="EL133" s="43"/>
      <c r="EM133" s="43"/>
      <c r="EN133" s="43"/>
      <c r="EO133" s="43"/>
      <c r="EP133" s="43"/>
      <c r="EQ133" s="43"/>
      <c r="ER133" s="43"/>
      <c r="ES133" s="43"/>
      <c r="ET133" s="43"/>
      <c r="EU133" s="43"/>
      <c r="EV133" s="43"/>
      <c r="EW133" s="43"/>
      <c r="EX133" s="43"/>
      <c r="EY133" s="43"/>
      <c r="EZ133" s="43"/>
      <c r="FA133" s="43"/>
      <c r="FB133" s="43"/>
      <c r="FC133" s="43"/>
      <c r="FD133" s="43"/>
      <c r="FE133" s="43"/>
      <c r="FF133" s="43"/>
      <c r="FG133" s="43"/>
      <c r="FH133" s="43"/>
      <c r="FI133" s="43"/>
      <c r="FJ133" s="43"/>
      <c r="FK133" s="43"/>
      <c r="FL133" s="43"/>
      <c r="FM133" s="43"/>
      <c r="FN133" s="43"/>
      <c r="FO133" s="43"/>
      <c r="FP133" s="43"/>
      <c r="FQ133" s="43"/>
      <c r="FR133" s="43"/>
      <c r="FS133" s="43"/>
      <c r="FT133" s="43"/>
      <c r="FU133" s="43"/>
      <c r="FV133" s="43"/>
      <c r="FW133" s="43"/>
      <c r="FX133" s="43"/>
      <c r="FY133" s="43"/>
      <c r="FZ133" s="43"/>
      <c r="GA133" s="43"/>
      <c r="GB133" s="43"/>
      <c r="GC133" s="43"/>
      <c r="GD133" s="43"/>
      <c r="GE133" s="43"/>
      <c r="GF133" s="43"/>
      <c r="GG133" s="43"/>
      <c r="GH133" s="43"/>
      <c r="GI133" s="43"/>
      <c r="GJ133" s="43"/>
      <c r="GK133" s="43"/>
      <c r="GL133" s="43"/>
      <c r="GM133" s="43"/>
      <c r="GN133" s="43"/>
      <c r="GO133" s="43"/>
      <c r="GP133" s="43"/>
      <c r="GQ133" s="43"/>
      <c r="GR133" s="43"/>
      <c r="GS133" s="43"/>
      <c r="GT133" s="43"/>
      <c r="GU133" s="43"/>
      <c r="GV133" s="43"/>
      <c r="GW133" s="43"/>
    </row>
    <row r="134" ht="15.0" customHeight="1">
      <c r="A134" s="318"/>
      <c r="B134" s="481" t="s">
        <v>754</v>
      </c>
      <c r="C134" s="49"/>
      <c r="D134" s="49"/>
      <c r="E134" s="50"/>
      <c r="F134" s="73"/>
      <c r="G134" s="49"/>
      <c r="H134" s="49"/>
      <c r="I134" s="49"/>
      <c r="J134" s="49"/>
      <c r="K134" s="49"/>
      <c r="L134" s="49"/>
      <c r="M134" s="49"/>
      <c r="N134" s="49"/>
      <c r="O134" s="49"/>
      <c r="P134" s="50"/>
      <c r="Q134" s="481" t="s">
        <v>755</v>
      </c>
      <c r="R134" s="49"/>
      <c r="S134" s="49"/>
      <c r="T134" s="50"/>
      <c r="U134" s="73"/>
      <c r="V134" s="49"/>
      <c r="W134" s="49"/>
      <c r="X134" s="49"/>
      <c r="Y134" s="49"/>
      <c r="Z134" s="49"/>
      <c r="AA134" s="49"/>
      <c r="AB134" s="49"/>
      <c r="AC134" s="49"/>
      <c r="AD134" s="49"/>
      <c r="AE134" s="50"/>
      <c r="AF134" s="53"/>
      <c r="AG134" s="70"/>
      <c r="AH134" s="57"/>
      <c r="AI134" s="57"/>
      <c r="AJ134" s="57"/>
      <c r="AK134" s="58"/>
      <c r="AL134" s="70"/>
      <c r="AM134" s="57"/>
      <c r="AN134" s="57"/>
      <c r="AO134" s="57"/>
      <c r="AP134" s="58"/>
      <c r="AQ134" s="70"/>
      <c r="AR134" s="57"/>
      <c r="AS134" s="57"/>
      <c r="AT134" s="57"/>
      <c r="AU134" s="58"/>
      <c r="AV134" s="70"/>
      <c r="AW134" s="57"/>
      <c r="AX134" s="57"/>
      <c r="AY134" s="57"/>
      <c r="AZ134" s="58"/>
      <c r="BA134" s="70"/>
      <c r="BB134" s="57"/>
      <c r="BC134" s="57"/>
      <c r="BD134" s="57"/>
      <c r="BE134" s="58"/>
      <c r="BF134" s="70"/>
      <c r="BG134" s="57"/>
      <c r="BH134" s="57"/>
      <c r="BI134" s="57"/>
      <c r="BJ134" s="58"/>
      <c r="BK134" s="70"/>
      <c r="BL134" s="57"/>
      <c r="BM134" s="57"/>
      <c r="BN134" s="57"/>
      <c r="BO134" s="58"/>
      <c r="BP134" s="70"/>
      <c r="BQ134" s="57"/>
      <c r="BR134" s="57"/>
      <c r="BS134" s="57"/>
      <c r="BT134" s="58"/>
      <c r="BU134" s="70"/>
      <c r="BV134" s="57"/>
      <c r="BW134" s="57"/>
      <c r="BX134" s="57"/>
      <c r="BY134" s="58"/>
      <c r="BZ134" s="53"/>
      <c r="CA134" s="70"/>
      <c r="CB134" s="57"/>
      <c r="CC134" s="57"/>
      <c r="CD134" s="57"/>
      <c r="CE134" s="57"/>
      <c r="CF134" s="58"/>
      <c r="CG134" s="70"/>
      <c r="CH134" s="57"/>
      <c r="CI134" s="57"/>
      <c r="CJ134" s="57"/>
      <c r="CK134" s="57"/>
      <c r="CL134" s="58"/>
      <c r="CM134" s="70"/>
      <c r="CN134" s="57"/>
      <c r="CO134" s="57"/>
      <c r="CP134" s="57"/>
      <c r="CQ134" s="57"/>
      <c r="CR134" s="58"/>
      <c r="CS134" s="70"/>
      <c r="CT134" s="57"/>
      <c r="CU134" s="57"/>
      <c r="CV134" s="57"/>
      <c r="CW134" s="57"/>
      <c r="CX134" s="58"/>
      <c r="CY134" s="70"/>
      <c r="CZ134" s="57"/>
      <c r="DA134" s="57"/>
      <c r="DB134" s="57"/>
      <c r="DC134" s="57"/>
      <c r="DD134" s="58"/>
      <c r="DE134" s="70"/>
      <c r="DF134" s="57"/>
      <c r="DG134" s="57"/>
      <c r="DH134" s="57"/>
      <c r="DI134" s="57"/>
      <c r="DJ134" s="58"/>
      <c r="DK134" s="53"/>
      <c r="DL134" s="43"/>
      <c r="DM134" s="43"/>
      <c r="DN134" s="43"/>
      <c r="DO134" s="43"/>
      <c r="DP134" s="43"/>
      <c r="DQ134" s="43"/>
      <c r="DR134" s="43"/>
      <c r="DS134" s="43"/>
      <c r="DT134" s="43"/>
      <c r="DU134" s="43"/>
      <c r="DV134" s="43"/>
      <c r="DW134" s="43"/>
      <c r="DX134" s="43"/>
      <c r="DY134" s="43"/>
      <c r="DZ134" s="43"/>
      <c r="EA134" s="43"/>
      <c r="EB134" s="43"/>
      <c r="EC134" s="43"/>
      <c r="ED134" s="43"/>
      <c r="EE134" s="43"/>
      <c r="EF134" s="43"/>
      <c r="EG134" s="43"/>
      <c r="EH134" s="43"/>
      <c r="EI134" s="43"/>
      <c r="EJ134" s="43"/>
      <c r="EK134" s="43"/>
      <c r="EL134" s="43"/>
      <c r="EM134" s="43"/>
      <c r="EN134" s="43"/>
      <c r="EO134" s="43"/>
      <c r="EP134" s="43"/>
      <c r="EQ134" s="43"/>
      <c r="ER134" s="43"/>
      <c r="ES134" s="43"/>
      <c r="ET134" s="43"/>
      <c r="EU134" s="43"/>
      <c r="EV134" s="43"/>
      <c r="EW134" s="43"/>
      <c r="EX134" s="43"/>
      <c r="EY134" s="43"/>
      <c r="EZ134" s="43"/>
      <c r="FA134" s="43"/>
      <c r="FB134" s="43"/>
      <c r="FC134" s="43"/>
      <c r="FD134" s="43"/>
      <c r="FE134" s="43"/>
      <c r="FF134" s="43"/>
      <c r="FG134" s="43"/>
      <c r="FH134" s="43"/>
      <c r="FI134" s="43"/>
      <c r="FJ134" s="43"/>
      <c r="FK134" s="43"/>
      <c r="FL134" s="43"/>
      <c r="FM134" s="43"/>
      <c r="FN134" s="43"/>
      <c r="FO134" s="43"/>
      <c r="FP134" s="43"/>
      <c r="FQ134" s="43"/>
      <c r="FR134" s="43"/>
      <c r="FS134" s="43"/>
      <c r="FT134" s="43"/>
      <c r="FU134" s="43"/>
      <c r="FV134" s="43"/>
      <c r="FW134" s="43"/>
      <c r="FX134" s="43"/>
      <c r="FY134" s="43"/>
      <c r="FZ134" s="43"/>
      <c r="GA134" s="43"/>
      <c r="GB134" s="43"/>
      <c r="GC134" s="43"/>
      <c r="GD134" s="43"/>
      <c r="GE134" s="43"/>
      <c r="GF134" s="43"/>
      <c r="GG134" s="43"/>
      <c r="GH134" s="43"/>
      <c r="GI134" s="43"/>
      <c r="GJ134" s="43"/>
      <c r="GK134" s="43"/>
      <c r="GL134" s="43"/>
      <c r="GM134" s="43"/>
      <c r="GN134" s="43"/>
      <c r="GO134" s="43"/>
      <c r="GP134" s="43"/>
      <c r="GQ134" s="43"/>
      <c r="GR134" s="43"/>
      <c r="GS134" s="43"/>
      <c r="GT134" s="43"/>
      <c r="GU134" s="43"/>
      <c r="GV134" s="43"/>
      <c r="GW134" s="43"/>
    </row>
    <row r="135" ht="15.0" customHeight="1">
      <c r="A135" s="318"/>
      <c r="B135" s="70"/>
      <c r="C135" s="57"/>
      <c r="D135" s="57"/>
      <c r="E135" s="58"/>
      <c r="F135" s="70"/>
      <c r="G135" s="57"/>
      <c r="H135" s="57"/>
      <c r="I135" s="57"/>
      <c r="J135" s="57"/>
      <c r="K135" s="57"/>
      <c r="L135" s="57"/>
      <c r="M135" s="57"/>
      <c r="N135" s="57"/>
      <c r="O135" s="57"/>
      <c r="P135" s="58"/>
      <c r="Q135" s="70"/>
      <c r="R135" s="57"/>
      <c r="S135" s="57"/>
      <c r="T135" s="58"/>
      <c r="U135" s="70"/>
      <c r="V135" s="57"/>
      <c r="W135" s="57"/>
      <c r="X135" s="57"/>
      <c r="Y135" s="57"/>
      <c r="Z135" s="57"/>
      <c r="AA135" s="57"/>
      <c r="AB135" s="57"/>
      <c r="AC135" s="57"/>
      <c r="AD135" s="57"/>
      <c r="AE135" s="58"/>
      <c r="AF135" s="53"/>
      <c r="AG135" s="307"/>
      <c r="AH135" s="49"/>
      <c r="AI135" s="49"/>
      <c r="AJ135" s="49"/>
      <c r="AK135" s="50"/>
      <c r="AL135" s="307"/>
      <c r="AM135" s="49"/>
      <c r="AN135" s="49"/>
      <c r="AO135" s="49"/>
      <c r="AP135" s="50"/>
      <c r="AQ135" s="307"/>
      <c r="AR135" s="49"/>
      <c r="AS135" s="49"/>
      <c r="AT135" s="49"/>
      <c r="AU135" s="50"/>
      <c r="AV135" s="307"/>
      <c r="AW135" s="49"/>
      <c r="AX135" s="49"/>
      <c r="AY135" s="49"/>
      <c r="AZ135" s="50"/>
      <c r="BA135" s="307"/>
      <c r="BB135" s="49"/>
      <c r="BC135" s="49"/>
      <c r="BD135" s="49"/>
      <c r="BE135" s="50"/>
      <c r="BF135" s="307"/>
      <c r="BG135" s="49"/>
      <c r="BH135" s="49"/>
      <c r="BI135" s="49"/>
      <c r="BJ135" s="50"/>
      <c r="BK135" s="307"/>
      <c r="BL135" s="49"/>
      <c r="BM135" s="49"/>
      <c r="BN135" s="49"/>
      <c r="BO135" s="50"/>
      <c r="BP135" s="307"/>
      <c r="BQ135" s="49"/>
      <c r="BR135" s="49"/>
      <c r="BS135" s="49"/>
      <c r="BT135" s="50"/>
      <c r="BU135" s="307"/>
      <c r="BV135" s="49"/>
      <c r="BW135" s="49"/>
      <c r="BX135" s="49"/>
      <c r="BY135" s="50"/>
      <c r="BZ135" s="53"/>
      <c r="CA135" s="483"/>
      <c r="CB135" s="49"/>
      <c r="CC135" s="49"/>
      <c r="CD135" s="49"/>
      <c r="CE135" s="49"/>
      <c r="CF135" s="50"/>
      <c r="CG135" s="73"/>
      <c r="CH135" s="49"/>
      <c r="CI135" s="49"/>
      <c r="CJ135" s="49"/>
      <c r="CK135" s="49"/>
      <c r="CL135" s="50"/>
      <c r="CM135" s="73"/>
      <c r="CN135" s="49"/>
      <c r="CO135" s="49"/>
      <c r="CP135" s="49"/>
      <c r="CQ135" s="49"/>
      <c r="CR135" s="50"/>
      <c r="CS135" s="73"/>
      <c r="CT135" s="49"/>
      <c r="CU135" s="49"/>
      <c r="CV135" s="49"/>
      <c r="CW135" s="49"/>
      <c r="CX135" s="50"/>
      <c r="CY135" s="73"/>
      <c r="CZ135" s="49"/>
      <c r="DA135" s="49"/>
      <c r="DB135" s="49"/>
      <c r="DC135" s="49"/>
      <c r="DD135" s="50"/>
      <c r="DE135" s="73"/>
      <c r="DF135" s="49"/>
      <c r="DG135" s="49"/>
      <c r="DH135" s="49"/>
      <c r="DI135" s="49"/>
      <c r="DJ135" s="50"/>
      <c r="DK135" s="53"/>
      <c r="DL135" s="43"/>
      <c r="DM135" s="43"/>
      <c r="DN135" s="43"/>
      <c r="DO135" s="43"/>
      <c r="DP135" s="43"/>
      <c r="DQ135" s="43"/>
      <c r="DR135" s="43"/>
      <c r="DS135" s="43"/>
      <c r="DT135" s="43"/>
      <c r="DU135" s="43"/>
      <c r="DV135" s="43"/>
      <c r="DW135" s="43"/>
      <c r="DX135" s="43"/>
      <c r="DY135" s="43"/>
      <c r="DZ135" s="43"/>
      <c r="EA135" s="43"/>
      <c r="EB135" s="43"/>
      <c r="EC135" s="43"/>
      <c r="ED135" s="43"/>
      <c r="EE135" s="43"/>
      <c r="EF135" s="43"/>
      <c r="EG135" s="43"/>
      <c r="EH135" s="43"/>
      <c r="EI135" s="43"/>
      <c r="EJ135" s="43"/>
      <c r="EK135" s="43"/>
      <c r="EL135" s="43"/>
      <c r="EM135" s="43"/>
      <c r="EN135" s="43"/>
      <c r="EO135" s="43"/>
      <c r="EP135" s="43"/>
      <c r="EQ135" s="43"/>
      <c r="ER135" s="43"/>
      <c r="ES135" s="43"/>
      <c r="ET135" s="43"/>
      <c r="EU135" s="43"/>
      <c r="EV135" s="43"/>
      <c r="EW135" s="43"/>
      <c r="EX135" s="43"/>
      <c r="EY135" s="43"/>
      <c r="EZ135" s="43"/>
      <c r="FA135" s="43"/>
      <c r="FB135" s="43"/>
      <c r="FC135" s="43"/>
      <c r="FD135" s="43"/>
      <c r="FE135" s="43"/>
      <c r="FF135" s="43"/>
      <c r="FG135" s="43"/>
      <c r="FH135" s="43"/>
      <c r="FI135" s="43"/>
      <c r="FJ135" s="43"/>
      <c r="FK135" s="43"/>
      <c r="FL135" s="43"/>
      <c r="FM135" s="43"/>
      <c r="FN135" s="43"/>
      <c r="FO135" s="43"/>
      <c r="FP135" s="43"/>
      <c r="FQ135" s="43"/>
      <c r="FR135" s="43"/>
      <c r="FS135" s="43"/>
      <c r="FT135" s="43"/>
      <c r="FU135" s="43"/>
      <c r="FV135" s="43"/>
      <c r="FW135" s="43"/>
      <c r="FX135" s="43"/>
      <c r="FY135" s="43"/>
      <c r="FZ135" s="43"/>
      <c r="GA135" s="43"/>
      <c r="GB135" s="43"/>
      <c r="GC135" s="43"/>
      <c r="GD135" s="43"/>
      <c r="GE135" s="43"/>
      <c r="GF135" s="43"/>
      <c r="GG135" s="43"/>
      <c r="GH135" s="43"/>
      <c r="GI135" s="43"/>
      <c r="GJ135" s="43"/>
      <c r="GK135" s="43"/>
      <c r="GL135" s="43"/>
      <c r="GM135" s="43"/>
      <c r="GN135" s="43"/>
      <c r="GO135" s="43"/>
      <c r="GP135" s="43"/>
      <c r="GQ135" s="43"/>
      <c r="GR135" s="43"/>
      <c r="GS135" s="43"/>
      <c r="GT135" s="43"/>
      <c r="GU135" s="43"/>
      <c r="GV135" s="43"/>
      <c r="GW135" s="43"/>
    </row>
    <row r="136" ht="15.0" customHeight="1">
      <c r="A136" s="318"/>
      <c r="B136" s="481" t="s">
        <v>759</v>
      </c>
      <c r="C136" s="49"/>
      <c r="D136" s="49"/>
      <c r="E136" s="50"/>
      <c r="F136" s="73"/>
      <c r="G136" s="49"/>
      <c r="H136" s="49"/>
      <c r="I136" s="49"/>
      <c r="J136" s="49"/>
      <c r="K136" s="49"/>
      <c r="L136" s="49"/>
      <c r="M136" s="49"/>
      <c r="N136" s="49"/>
      <c r="O136" s="49"/>
      <c r="P136" s="50"/>
      <c r="Q136" s="481" t="s">
        <v>761</v>
      </c>
      <c r="R136" s="49"/>
      <c r="S136" s="49"/>
      <c r="T136" s="50"/>
      <c r="U136" s="73"/>
      <c r="V136" s="49"/>
      <c r="W136" s="49"/>
      <c r="X136" s="49"/>
      <c r="Y136" s="49"/>
      <c r="Z136" s="49"/>
      <c r="AA136" s="49"/>
      <c r="AB136" s="49"/>
      <c r="AC136" s="49"/>
      <c r="AD136" s="49"/>
      <c r="AE136" s="50"/>
      <c r="AF136" s="43"/>
      <c r="AG136" s="70"/>
      <c r="AH136" s="57"/>
      <c r="AI136" s="57"/>
      <c r="AJ136" s="57"/>
      <c r="AK136" s="58"/>
      <c r="AL136" s="70"/>
      <c r="AM136" s="57"/>
      <c r="AN136" s="57"/>
      <c r="AO136" s="57"/>
      <c r="AP136" s="58"/>
      <c r="AQ136" s="70"/>
      <c r="AR136" s="57"/>
      <c r="AS136" s="57"/>
      <c r="AT136" s="57"/>
      <c r="AU136" s="58"/>
      <c r="AV136" s="70"/>
      <c r="AW136" s="57"/>
      <c r="AX136" s="57"/>
      <c r="AY136" s="57"/>
      <c r="AZ136" s="58"/>
      <c r="BA136" s="70"/>
      <c r="BB136" s="57"/>
      <c r="BC136" s="57"/>
      <c r="BD136" s="57"/>
      <c r="BE136" s="58"/>
      <c r="BF136" s="70"/>
      <c r="BG136" s="57"/>
      <c r="BH136" s="57"/>
      <c r="BI136" s="57"/>
      <c r="BJ136" s="58"/>
      <c r="BK136" s="70"/>
      <c r="BL136" s="57"/>
      <c r="BM136" s="57"/>
      <c r="BN136" s="57"/>
      <c r="BO136" s="58"/>
      <c r="BP136" s="70"/>
      <c r="BQ136" s="57"/>
      <c r="BR136" s="57"/>
      <c r="BS136" s="57"/>
      <c r="BT136" s="58"/>
      <c r="BU136" s="70"/>
      <c r="BV136" s="57"/>
      <c r="BW136" s="57"/>
      <c r="BX136" s="57"/>
      <c r="BY136" s="58"/>
      <c r="BZ136" s="482"/>
      <c r="CA136" s="70"/>
      <c r="CB136" s="57"/>
      <c r="CC136" s="57"/>
      <c r="CD136" s="57"/>
      <c r="CE136" s="57"/>
      <c r="CF136" s="58"/>
      <c r="CG136" s="70"/>
      <c r="CH136" s="57"/>
      <c r="CI136" s="57"/>
      <c r="CJ136" s="57"/>
      <c r="CK136" s="57"/>
      <c r="CL136" s="58"/>
      <c r="CM136" s="70"/>
      <c r="CN136" s="57"/>
      <c r="CO136" s="57"/>
      <c r="CP136" s="57"/>
      <c r="CQ136" s="57"/>
      <c r="CR136" s="58"/>
      <c r="CS136" s="70"/>
      <c r="CT136" s="57"/>
      <c r="CU136" s="57"/>
      <c r="CV136" s="57"/>
      <c r="CW136" s="57"/>
      <c r="CX136" s="58"/>
      <c r="CY136" s="70"/>
      <c r="CZ136" s="57"/>
      <c r="DA136" s="57"/>
      <c r="DB136" s="57"/>
      <c r="DC136" s="57"/>
      <c r="DD136" s="58"/>
      <c r="DE136" s="70"/>
      <c r="DF136" s="57"/>
      <c r="DG136" s="57"/>
      <c r="DH136" s="57"/>
      <c r="DI136" s="57"/>
      <c r="DJ136" s="58"/>
      <c r="DK136" s="53"/>
      <c r="DL136" s="43"/>
      <c r="DM136" s="43"/>
      <c r="DN136" s="43"/>
      <c r="DO136" s="43"/>
      <c r="DP136" s="43"/>
      <c r="DQ136" s="43"/>
      <c r="DR136" s="43"/>
      <c r="DS136" s="43"/>
      <c r="DT136" s="43"/>
      <c r="DU136" s="43"/>
      <c r="DV136" s="43"/>
      <c r="DW136" s="43"/>
      <c r="DX136" s="43"/>
      <c r="DY136" s="43"/>
      <c r="DZ136" s="43"/>
      <c r="EA136" s="43"/>
      <c r="EB136" s="43"/>
      <c r="EC136" s="43"/>
      <c r="ED136" s="43"/>
      <c r="EE136" s="43"/>
      <c r="EF136" s="43"/>
      <c r="EG136" s="43"/>
      <c r="EH136" s="43"/>
      <c r="EI136" s="43"/>
      <c r="EJ136" s="43"/>
      <c r="EK136" s="43"/>
      <c r="EL136" s="43"/>
      <c r="EM136" s="43"/>
      <c r="EN136" s="43"/>
      <c r="EO136" s="43"/>
      <c r="EP136" s="43"/>
      <c r="EQ136" s="43"/>
      <c r="ER136" s="43"/>
      <c r="ES136" s="43"/>
      <c r="ET136" s="43"/>
      <c r="EU136" s="43"/>
      <c r="EV136" s="43"/>
      <c r="EW136" s="43"/>
      <c r="EX136" s="43"/>
      <c r="EY136" s="43"/>
      <c r="EZ136" s="43"/>
      <c r="FA136" s="43"/>
      <c r="FB136" s="43"/>
      <c r="FC136" s="43"/>
      <c r="FD136" s="43"/>
      <c r="FE136" s="43"/>
      <c r="FF136" s="43"/>
      <c r="FG136" s="43"/>
      <c r="FH136" s="43"/>
      <c r="FI136" s="43"/>
      <c r="FJ136" s="43"/>
      <c r="FK136" s="43"/>
      <c r="FL136" s="43"/>
      <c r="FM136" s="43"/>
      <c r="FN136" s="43"/>
      <c r="FO136" s="43"/>
      <c r="FP136" s="43"/>
      <c r="FQ136" s="43"/>
      <c r="FR136" s="43"/>
      <c r="FS136" s="43"/>
      <c r="FT136" s="43"/>
      <c r="FU136" s="43"/>
      <c r="FV136" s="43"/>
      <c r="FW136" s="43"/>
      <c r="FX136" s="43"/>
      <c r="FY136" s="43"/>
      <c r="FZ136" s="43"/>
      <c r="GA136" s="43"/>
      <c r="GB136" s="43"/>
      <c r="GC136" s="43"/>
      <c r="GD136" s="43"/>
      <c r="GE136" s="43"/>
      <c r="GF136" s="43"/>
      <c r="GG136" s="43"/>
      <c r="GH136" s="43"/>
      <c r="GI136" s="43"/>
      <c r="GJ136" s="43"/>
      <c r="GK136" s="43"/>
      <c r="GL136" s="43"/>
      <c r="GM136" s="43"/>
      <c r="GN136" s="43"/>
      <c r="GO136" s="43"/>
      <c r="GP136" s="43"/>
      <c r="GQ136" s="43"/>
      <c r="GR136" s="43"/>
      <c r="GS136" s="43"/>
      <c r="GT136" s="43"/>
      <c r="GU136" s="43"/>
      <c r="GV136" s="43"/>
      <c r="GW136" s="43"/>
    </row>
    <row r="137" ht="15.0" customHeight="1">
      <c r="A137" s="318"/>
      <c r="B137" s="70"/>
      <c r="C137" s="57"/>
      <c r="D137" s="57"/>
      <c r="E137" s="58"/>
      <c r="F137" s="70"/>
      <c r="G137" s="57"/>
      <c r="H137" s="57"/>
      <c r="I137" s="57"/>
      <c r="J137" s="57"/>
      <c r="K137" s="57"/>
      <c r="L137" s="57"/>
      <c r="M137" s="57"/>
      <c r="N137" s="57"/>
      <c r="O137" s="57"/>
      <c r="P137" s="58"/>
      <c r="Q137" s="70"/>
      <c r="R137" s="57"/>
      <c r="S137" s="57"/>
      <c r="T137" s="58"/>
      <c r="U137" s="70"/>
      <c r="V137" s="57"/>
      <c r="W137" s="57"/>
      <c r="X137" s="57"/>
      <c r="Y137" s="57"/>
      <c r="Z137" s="57"/>
      <c r="AA137" s="57"/>
      <c r="AB137" s="57"/>
      <c r="AC137" s="57"/>
      <c r="AD137" s="57"/>
      <c r="AE137" s="58"/>
      <c r="AF137" s="484"/>
      <c r="AG137" s="307"/>
      <c r="AH137" s="49"/>
      <c r="AI137" s="49"/>
      <c r="AJ137" s="49"/>
      <c r="AK137" s="50"/>
      <c r="AL137" s="307"/>
      <c r="AM137" s="49"/>
      <c r="AN137" s="49"/>
      <c r="AO137" s="49"/>
      <c r="AP137" s="50"/>
      <c r="AQ137" s="307"/>
      <c r="AR137" s="49"/>
      <c r="AS137" s="49"/>
      <c r="AT137" s="49"/>
      <c r="AU137" s="50"/>
      <c r="AV137" s="307"/>
      <c r="AW137" s="49"/>
      <c r="AX137" s="49"/>
      <c r="AY137" s="49"/>
      <c r="AZ137" s="50"/>
      <c r="BA137" s="307"/>
      <c r="BB137" s="49"/>
      <c r="BC137" s="49"/>
      <c r="BD137" s="49"/>
      <c r="BE137" s="50"/>
      <c r="BF137" s="307"/>
      <c r="BG137" s="49"/>
      <c r="BH137" s="49"/>
      <c r="BI137" s="49"/>
      <c r="BJ137" s="50"/>
      <c r="BK137" s="307"/>
      <c r="BL137" s="49"/>
      <c r="BM137" s="49"/>
      <c r="BN137" s="49"/>
      <c r="BO137" s="50"/>
      <c r="BP137" s="307"/>
      <c r="BQ137" s="49"/>
      <c r="BR137" s="49"/>
      <c r="BS137" s="49"/>
      <c r="BT137" s="50"/>
      <c r="BU137" s="307"/>
      <c r="BV137" s="49"/>
      <c r="BW137" s="49"/>
      <c r="BX137" s="49"/>
      <c r="BY137" s="50"/>
      <c r="BZ137" s="484"/>
      <c r="CA137" s="483"/>
      <c r="CB137" s="49"/>
      <c r="CC137" s="49"/>
      <c r="CD137" s="49"/>
      <c r="CE137" s="49"/>
      <c r="CF137" s="50"/>
      <c r="CG137" s="73"/>
      <c r="CH137" s="49"/>
      <c r="CI137" s="49"/>
      <c r="CJ137" s="49"/>
      <c r="CK137" s="49"/>
      <c r="CL137" s="50"/>
      <c r="CM137" s="73"/>
      <c r="CN137" s="49"/>
      <c r="CO137" s="49"/>
      <c r="CP137" s="49"/>
      <c r="CQ137" s="49"/>
      <c r="CR137" s="50"/>
      <c r="CS137" s="73"/>
      <c r="CT137" s="49"/>
      <c r="CU137" s="49"/>
      <c r="CV137" s="49"/>
      <c r="CW137" s="49"/>
      <c r="CX137" s="50"/>
      <c r="CY137" s="73"/>
      <c r="CZ137" s="49"/>
      <c r="DA137" s="49"/>
      <c r="DB137" s="49"/>
      <c r="DC137" s="49"/>
      <c r="DD137" s="50"/>
      <c r="DE137" s="73"/>
      <c r="DF137" s="49"/>
      <c r="DG137" s="49"/>
      <c r="DH137" s="49"/>
      <c r="DI137" s="49"/>
      <c r="DJ137" s="50"/>
      <c r="DK137" s="53"/>
      <c r="DL137" s="43"/>
      <c r="DM137" s="43"/>
      <c r="DN137" s="43"/>
      <c r="DO137" s="43"/>
      <c r="DP137" s="43"/>
      <c r="DQ137" s="43"/>
      <c r="DR137" s="43"/>
      <c r="DS137" s="43"/>
      <c r="DT137" s="43"/>
      <c r="DU137" s="43"/>
      <c r="DV137" s="43"/>
      <c r="DW137" s="43"/>
      <c r="DX137" s="43"/>
      <c r="DY137" s="43"/>
      <c r="DZ137" s="43"/>
      <c r="EA137" s="43"/>
      <c r="EB137" s="43"/>
      <c r="EC137" s="43"/>
      <c r="ED137" s="43"/>
      <c r="EE137" s="43"/>
      <c r="EF137" s="43"/>
      <c r="EG137" s="43"/>
      <c r="EH137" s="43"/>
      <c r="EI137" s="43"/>
      <c r="EJ137" s="43"/>
      <c r="EK137" s="43"/>
      <c r="EL137" s="43"/>
      <c r="EM137" s="43"/>
      <c r="EN137" s="43"/>
      <c r="EO137" s="43"/>
      <c r="EP137" s="43"/>
      <c r="EQ137" s="43"/>
      <c r="ER137" s="43"/>
      <c r="ES137" s="43"/>
      <c r="ET137" s="43"/>
      <c r="EU137" s="43"/>
      <c r="EV137" s="43"/>
      <c r="EW137" s="43"/>
      <c r="EX137" s="43"/>
      <c r="EY137" s="43"/>
      <c r="EZ137" s="43"/>
      <c r="FA137" s="43"/>
      <c r="FB137" s="43"/>
      <c r="FC137" s="43"/>
      <c r="FD137" s="43"/>
      <c r="FE137" s="43"/>
      <c r="FF137" s="43"/>
      <c r="FG137" s="43"/>
      <c r="FH137" s="43"/>
      <c r="FI137" s="43"/>
      <c r="FJ137" s="43"/>
      <c r="FK137" s="43"/>
      <c r="FL137" s="43"/>
      <c r="FM137" s="43"/>
      <c r="FN137" s="43"/>
      <c r="FO137" s="43"/>
      <c r="FP137" s="43"/>
      <c r="FQ137" s="43"/>
      <c r="FR137" s="43"/>
      <c r="FS137" s="43"/>
      <c r="FT137" s="43"/>
      <c r="FU137" s="43"/>
      <c r="FV137" s="43"/>
      <c r="FW137" s="43"/>
      <c r="FX137" s="43"/>
      <c r="FY137" s="43"/>
      <c r="FZ137" s="43"/>
      <c r="GA137" s="43"/>
      <c r="GB137" s="43"/>
      <c r="GC137" s="43"/>
      <c r="GD137" s="43"/>
      <c r="GE137" s="43"/>
      <c r="GF137" s="43"/>
      <c r="GG137" s="43"/>
      <c r="GH137" s="43"/>
      <c r="GI137" s="43"/>
      <c r="GJ137" s="43"/>
      <c r="GK137" s="43"/>
      <c r="GL137" s="43"/>
      <c r="GM137" s="43"/>
      <c r="GN137" s="43"/>
      <c r="GO137" s="43"/>
      <c r="GP137" s="43"/>
      <c r="GQ137" s="43"/>
      <c r="GR137" s="43"/>
      <c r="GS137" s="43"/>
      <c r="GT137" s="43"/>
      <c r="GU137" s="43"/>
      <c r="GV137" s="43"/>
      <c r="GW137" s="43"/>
    </row>
    <row r="138" ht="15.0" customHeight="1">
      <c r="A138" s="318"/>
      <c r="B138" s="481" t="s">
        <v>763</v>
      </c>
      <c r="C138" s="49"/>
      <c r="D138" s="49"/>
      <c r="E138" s="50"/>
      <c r="F138" s="73"/>
      <c r="G138" s="49"/>
      <c r="H138" s="49"/>
      <c r="I138" s="49"/>
      <c r="J138" s="49"/>
      <c r="K138" s="49"/>
      <c r="L138" s="49"/>
      <c r="M138" s="49"/>
      <c r="N138" s="49"/>
      <c r="O138" s="49"/>
      <c r="P138" s="50"/>
      <c r="Q138" s="481" t="s">
        <v>764</v>
      </c>
      <c r="R138" s="49"/>
      <c r="S138" s="49"/>
      <c r="T138" s="50"/>
      <c r="U138" s="73"/>
      <c r="V138" s="49"/>
      <c r="W138" s="49"/>
      <c r="X138" s="49"/>
      <c r="Y138" s="49"/>
      <c r="Z138" s="49"/>
      <c r="AA138" s="49"/>
      <c r="AB138" s="49"/>
      <c r="AC138" s="49"/>
      <c r="AD138" s="49"/>
      <c r="AE138" s="50"/>
      <c r="AF138" s="485"/>
      <c r="AG138" s="70"/>
      <c r="AH138" s="57"/>
      <c r="AI138" s="57"/>
      <c r="AJ138" s="57"/>
      <c r="AK138" s="58"/>
      <c r="AL138" s="70"/>
      <c r="AM138" s="57"/>
      <c r="AN138" s="57"/>
      <c r="AO138" s="57"/>
      <c r="AP138" s="58"/>
      <c r="AQ138" s="70"/>
      <c r="AR138" s="57"/>
      <c r="AS138" s="57"/>
      <c r="AT138" s="57"/>
      <c r="AU138" s="58"/>
      <c r="AV138" s="70"/>
      <c r="AW138" s="57"/>
      <c r="AX138" s="57"/>
      <c r="AY138" s="57"/>
      <c r="AZ138" s="58"/>
      <c r="BA138" s="70"/>
      <c r="BB138" s="57"/>
      <c r="BC138" s="57"/>
      <c r="BD138" s="57"/>
      <c r="BE138" s="58"/>
      <c r="BF138" s="70"/>
      <c r="BG138" s="57"/>
      <c r="BH138" s="57"/>
      <c r="BI138" s="57"/>
      <c r="BJ138" s="58"/>
      <c r="BK138" s="70"/>
      <c r="BL138" s="57"/>
      <c r="BM138" s="57"/>
      <c r="BN138" s="57"/>
      <c r="BO138" s="58"/>
      <c r="BP138" s="70"/>
      <c r="BQ138" s="57"/>
      <c r="BR138" s="57"/>
      <c r="BS138" s="57"/>
      <c r="BT138" s="58"/>
      <c r="BU138" s="70"/>
      <c r="BV138" s="57"/>
      <c r="BW138" s="57"/>
      <c r="BX138" s="57"/>
      <c r="BY138" s="58"/>
      <c r="BZ138" s="487"/>
      <c r="CA138" s="70"/>
      <c r="CB138" s="57"/>
      <c r="CC138" s="57"/>
      <c r="CD138" s="57"/>
      <c r="CE138" s="57"/>
      <c r="CF138" s="58"/>
      <c r="CG138" s="70"/>
      <c r="CH138" s="57"/>
      <c r="CI138" s="57"/>
      <c r="CJ138" s="57"/>
      <c r="CK138" s="57"/>
      <c r="CL138" s="58"/>
      <c r="CM138" s="70"/>
      <c r="CN138" s="57"/>
      <c r="CO138" s="57"/>
      <c r="CP138" s="57"/>
      <c r="CQ138" s="57"/>
      <c r="CR138" s="58"/>
      <c r="CS138" s="70"/>
      <c r="CT138" s="57"/>
      <c r="CU138" s="57"/>
      <c r="CV138" s="57"/>
      <c r="CW138" s="57"/>
      <c r="CX138" s="58"/>
      <c r="CY138" s="70"/>
      <c r="CZ138" s="57"/>
      <c r="DA138" s="57"/>
      <c r="DB138" s="57"/>
      <c r="DC138" s="57"/>
      <c r="DD138" s="58"/>
      <c r="DE138" s="70"/>
      <c r="DF138" s="57"/>
      <c r="DG138" s="57"/>
      <c r="DH138" s="57"/>
      <c r="DI138" s="57"/>
      <c r="DJ138" s="58"/>
      <c r="DK138" s="53"/>
      <c r="DL138" s="43"/>
      <c r="DM138" s="43"/>
      <c r="DN138" s="43"/>
      <c r="DO138" s="43"/>
      <c r="DP138" s="43"/>
      <c r="DQ138" s="43"/>
      <c r="DR138" s="43"/>
      <c r="DS138" s="43"/>
      <c r="DT138" s="43"/>
      <c r="DU138" s="43"/>
      <c r="DV138" s="43"/>
      <c r="DW138" s="488" t="str">
        <f>"負重上限："&amp;BM31+V18&amp;"，目前負重："&amp;Sum(AS135,AS137,AS139,AS141,AS143,AS145,AS147,BH135,BH137,BH139,BH141,BH143,BH145,BH147)</f>
        <v>負重上限：7，目前負重：0</v>
      </c>
      <c r="DX138" s="355"/>
      <c r="DY138" s="355"/>
      <c r="DZ138" s="355"/>
      <c r="EA138" s="355"/>
      <c r="EB138" s="355"/>
      <c r="EC138" s="355"/>
      <c r="ED138" s="355"/>
      <c r="EE138" s="355"/>
      <c r="EF138" s="355"/>
      <c r="EG138" s="355"/>
      <c r="EH138" s="355"/>
      <c r="EI138" s="355"/>
      <c r="EJ138" s="355"/>
      <c r="EK138" s="355"/>
      <c r="EL138" s="355"/>
      <c r="EM138" s="355"/>
      <c r="EN138" s="355"/>
      <c r="EO138" s="355"/>
      <c r="EP138" s="355"/>
      <c r="EQ138" s="355"/>
      <c r="ER138" s="355"/>
      <c r="ES138" s="355"/>
      <c r="ET138" s="355"/>
      <c r="EU138" s="355"/>
      <c r="EV138" s="355"/>
      <c r="EW138" s="355"/>
      <c r="EX138" s="355"/>
      <c r="EY138" s="355"/>
      <c r="EZ138" s="291"/>
      <c r="FA138" s="489" t="str">
        <f>"零碎物品："&amp;Sum(BU136,BU138,BU140,BU142,BU144,BU146,BU148)</f>
        <v>零碎物品：0</v>
      </c>
      <c r="FB138" s="355"/>
      <c r="FC138" s="355"/>
      <c r="FD138" s="355"/>
      <c r="FE138" s="355"/>
      <c r="FF138" s="355"/>
      <c r="FG138" s="355"/>
      <c r="FH138" s="355"/>
      <c r="FI138" s="355"/>
      <c r="FJ138" s="355"/>
      <c r="FK138" s="355"/>
      <c r="FL138" s="355"/>
      <c r="FM138" s="355"/>
      <c r="FN138" s="355"/>
      <c r="FO138" s="291"/>
      <c r="FP138" s="43"/>
      <c r="FQ138" s="43"/>
      <c r="FR138" s="43"/>
      <c r="FS138" s="43"/>
      <c r="FT138" s="43"/>
      <c r="FU138" s="43"/>
      <c r="FV138" s="43"/>
      <c r="FW138" s="43"/>
      <c r="FX138" s="43"/>
      <c r="FY138" s="43"/>
      <c r="FZ138" s="43"/>
      <c r="GA138" s="43"/>
      <c r="GB138" s="43"/>
      <c r="GC138" s="43"/>
      <c r="GD138" s="43"/>
      <c r="GE138" s="43"/>
      <c r="GF138" s="43"/>
      <c r="GG138" s="43"/>
      <c r="GH138" s="43"/>
      <c r="GI138" s="43"/>
      <c r="GJ138" s="43"/>
      <c r="GK138" s="43"/>
      <c r="GL138" s="43"/>
      <c r="GM138" s="43"/>
      <c r="GN138" s="43"/>
      <c r="GO138" s="43"/>
      <c r="GP138" s="43"/>
      <c r="GQ138" s="43"/>
      <c r="GR138" s="43"/>
      <c r="GS138" s="43"/>
      <c r="GT138" s="43"/>
      <c r="GU138" s="43"/>
      <c r="GV138" s="43"/>
      <c r="GW138" s="43"/>
    </row>
    <row r="139" ht="15.0" customHeight="1">
      <c r="A139" s="318"/>
      <c r="B139" s="70"/>
      <c r="C139" s="57"/>
      <c r="D139" s="57"/>
      <c r="E139" s="58"/>
      <c r="F139" s="70"/>
      <c r="G139" s="57"/>
      <c r="H139" s="57"/>
      <c r="I139" s="57"/>
      <c r="J139" s="57"/>
      <c r="K139" s="57"/>
      <c r="L139" s="57"/>
      <c r="M139" s="57"/>
      <c r="N139" s="57"/>
      <c r="O139" s="57"/>
      <c r="P139" s="58"/>
      <c r="Q139" s="70"/>
      <c r="R139" s="57"/>
      <c r="S139" s="57"/>
      <c r="T139" s="58"/>
      <c r="U139" s="70"/>
      <c r="V139" s="57"/>
      <c r="W139" s="57"/>
      <c r="X139" s="57"/>
      <c r="Y139" s="57"/>
      <c r="Z139" s="57"/>
      <c r="AA139" s="57"/>
      <c r="AB139" s="57"/>
      <c r="AC139" s="57"/>
      <c r="AD139" s="57"/>
      <c r="AE139" s="58"/>
      <c r="AF139" s="484"/>
      <c r="AG139" s="307"/>
      <c r="AH139" s="49"/>
      <c r="AI139" s="49"/>
      <c r="AJ139" s="49"/>
      <c r="AK139" s="50"/>
      <c r="AL139" s="307"/>
      <c r="AM139" s="49"/>
      <c r="AN139" s="49"/>
      <c r="AO139" s="49"/>
      <c r="AP139" s="50"/>
      <c r="AQ139" s="307"/>
      <c r="AR139" s="49"/>
      <c r="AS139" s="49"/>
      <c r="AT139" s="49"/>
      <c r="AU139" s="50"/>
      <c r="AV139" s="307"/>
      <c r="AW139" s="49"/>
      <c r="AX139" s="49"/>
      <c r="AY139" s="49"/>
      <c r="AZ139" s="50"/>
      <c r="BA139" s="307"/>
      <c r="BB139" s="49"/>
      <c r="BC139" s="49"/>
      <c r="BD139" s="49"/>
      <c r="BE139" s="50"/>
      <c r="BF139" s="307"/>
      <c r="BG139" s="49"/>
      <c r="BH139" s="49"/>
      <c r="BI139" s="49"/>
      <c r="BJ139" s="50"/>
      <c r="BK139" s="307"/>
      <c r="BL139" s="49"/>
      <c r="BM139" s="49"/>
      <c r="BN139" s="49"/>
      <c r="BO139" s="50"/>
      <c r="BP139" s="307"/>
      <c r="BQ139" s="49"/>
      <c r="BR139" s="49"/>
      <c r="BS139" s="49"/>
      <c r="BT139" s="50"/>
      <c r="BU139" s="307"/>
      <c r="BV139" s="49"/>
      <c r="BW139" s="49"/>
      <c r="BX139" s="49"/>
      <c r="BY139" s="50"/>
      <c r="BZ139" s="484"/>
      <c r="CA139" s="73"/>
      <c r="CB139" s="49"/>
      <c r="CC139" s="49"/>
      <c r="CD139" s="49"/>
      <c r="CE139" s="49"/>
      <c r="CF139" s="50"/>
      <c r="CG139" s="73"/>
      <c r="CH139" s="49"/>
      <c r="CI139" s="49"/>
      <c r="CJ139" s="49"/>
      <c r="CK139" s="49"/>
      <c r="CL139" s="50"/>
      <c r="CM139" s="73"/>
      <c r="CN139" s="49"/>
      <c r="CO139" s="49"/>
      <c r="CP139" s="49"/>
      <c r="CQ139" s="49"/>
      <c r="CR139" s="50"/>
      <c r="CS139" s="73"/>
      <c r="CT139" s="49"/>
      <c r="CU139" s="49"/>
      <c r="CV139" s="49"/>
      <c r="CW139" s="49"/>
      <c r="CX139" s="50"/>
      <c r="CY139" s="73"/>
      <c r="CZ139" s="49"/>
      <c r="DA139" s="49"/>
      <c r="DB139" s="49"/>
      <c r="DC139" s="49"/>
      <c r="DD139" s="50"/>
      <c r="DE139" s="73"/>
      <c r="DF139" s="49"/>
      <c r="DG139" s="49"/>
      <c r="DH139" s="49"/>
      <c r="DI139" s="49"/>
      <c r="DJ139" s="50"/>
      <c r="DK139" s="53"/>
      <c r="DL139" s="43"/>
      <c r="DM139" s="43"/>
      <c r="DN139" s="43"/>
      <c r="DO139" s="43"/>
      <c r="DP139" s="43"/>
      <c r="DQ139" s="43"/>
      <c r="DR139" s="43"/>
      <c r="DS139" s="43"/>
      <c r="DT139" s="43"/>
      <c r="DU139" s="43"/>
      <c r="DV139" s="43"/>
      <c r="DW139" s="319"/>
      <c r="DX139" s="320"/>
      <c r="DY139" s="320"/>
      <c r="DZ139" s="320"/>
      <c r="EA139" s="320"/>
      <c r="EB139" s="320"/>
      <c r="EC139" s="320"/>
      <c r="ED139" s="320"/>
      <c r="EE139" s="320"/>
      <c r="EF139" s="320"/>
      <c r="EG139" s="320"/>
      <c r="EH139" s="320"/>
      <c r="EI139" s="320"/>
      <c r="EJ139" s="320"/>
      <c r="EK139" s="320"/>
      <c r="EL139" s="320"/>
      <c r="EM139" s="320"/>
      <c r="EN139" s="320"/>
      <c r="EO139" s="320"/>
      <c r="EP139" s="320"/>
      <c r="EQ139" s="320"/>
      <c r="ER139" s="320"/>
      <c r="ES139" s="320"/>
      <c r="ET139" s="320"/>
      <c r="EU139" s="320"/>
      <c r="EV139" s="320"/>
      <c r="EW139" s="320"/>
      <c r="EX139" s="320"/>
      <c r="EY139" s="320"/>
      <c r="EZ139" s="321"/>
      <c r="FA139" s="319"/>
      <c r="FB139" s="320"/>
      <c r="FC139" s="320"/>
      <c r="FD139" s="320"/>
      <c r="FE139" s="320"/>
      <c r="FF139" s="320"/>
      <c r="FG139" s="320"/>
      <c r="FH139" s="320"/>
      <c r="FI139" s="320"/>
      <c r="FJ139" s="320"/>
      <c r="FK139" s="320"/>
      <c r="FL139" s="320"/>
      <c r="FM139" s="320"/>
      <c r="FN139" s="320"/>
      <c r="FO139" s="321"/>
      <c r="FP139" s="43"/>
      <c r="FQ139" s="43"/>
      <c r="FR139" s="43"/>
      <c r="FS139" s="43"/>
      <c r="FT139" s="43"/>
      <c r="FU139" s="43"/>
      <c r="FV139" s="43"/>
      <c r="FW139" s="43"/>
      <c r="FX139" s="43"/>
      <c r="FY139" s="43"/>
      <c r="FZ139" s="43"/>
      <c r="GA139" s="43"/>
      <c r="GB139" s="43"/>
      <c r="GC139" s="43"/>
      <c r="GD139" s="43"/>
      <c r="GE139" s="43"/>
      <c r="GF139" s="43"/>
      <c r="GG139" s="43"/>
      <c r="GH139" s="43"/>
      <c r="GI139" s="43"/>
      <c r="GJ139" s="43"/>
      <c r="GK139" s="43"/>
      <c r="GL139" s="43"/>
      <c r="GM139" s="43"/>
      <c r="GN139" s="43"/>
      <c r="GO139" s="43"/>
      <c r="GP139" s="43"/>
      <c r="GQ139" s="43"/>
      <c r="GR139" s="43"/>
      <c r="GS139" s="43"/>
      <c r="GT139" s="43"/>
      <c r="GU139" s="43"/>
      <c r="GV139" s="43"/>
      <c r="GW139" s="43"/>
    </row>
    <row r="140" ht="15.0" customHeight="1">
      <c r="A140" s="318"/>
      <c r="B140" s="481" t="s">
        <v>769</v>
      </c>
      <c r="C140" s="49"/>
      <c r="D140" s="49"/>
      <c r="E140" s="50"/>
      <c r="F140" s="73"/>
      <c r="G140" s="49"/>
      <c r="H140" s="49"/>
      <c r="I140" s="49"/>
      <c r="J140" s="49"/>
      <c r="K140" s="49"/>
      <c r="L140" s="49"/>
      <c r="M140" s="49"/>
      <c r="N140" s="49"/>
      <c r="O140" s="49"/>
      <c r="P140" s="50"/>
      <c r="Q140" s="481" t="s">
        <v>769</v>
      </c>
      <c r="R140" s="49"/>
      <c r="S140" s="49"/>
      <c r="T140" s="50"/>
      <c r="U140" s="73"/>
      <c r="V140" s="49"/>
      <c r="W140" s="49"/>
      <c r="X140" s="49"/>
      <c r="Y140" s="49"/>
      <c r="Z140" s="49"/>
      <c r="AA140" s="49"/>
      <c r="AB140" s="49"/>
      <c r="AC140" s="49"/>
      <c r="AD140" s="49"/>
      <c r="AE140" s="50"/>
      <c r="AF140" s="484"/>
      <c r="AG140" s="70"/>
      <c r="AH140" s="57"/>
      <c r="AI140" s="57"/>
      <c r="AJ140" s="57"/>
      <c r="AK140" s="58"/>
      <c r="AL140" s="70"/>
      <c r="AM140" s="57"/>
      <c r="AN140" s="57"/>
      <c r="AO140" s="57"/>
      <c r="AP140" s="58"/>
      <c r="AQ140" s="70"/>
      <c r="AR140" s="57"/>
      <c r="AS140" s="57"/>
      <c r="AT140" s="57"/>
      <c r="AU140" s="58"/>
      <c r="AV140" s="70"/>
      <c r="AW140" s="57"/>
      <c r="AX140" s="57"/>
      <c r="AY140" s="57"/>
      <c r="AZ140" s="58"/>
      <c r="BA140" s="70"/>
      <c r="BB140" s="57"/>
      <c r="BC140" s="57"/>
      <c r="BD140" s="57"/>
      <c r="BE140" s="58"/>
      <c r="BF140" s="70"/>
      <c r="BG140" s="57"/>
      <c r="BH140" s="57"/>
      <c r="BI140" s="57"/>
      <c r="BJ140" s="58"/>
      <c r="BK140" s="70"/>
      <c r="BL140" s="57"/>
      <c r="BM140" s="57"/>
      <c r="BN140" s="57"/>
      <c r="BO140" s="58"/>
      <c r="BP140" s="70"/>
      <c r="BQ140" s="57"/>
      <c r="BR140" s="57"/>
      <c r="BS140" s="57"/>
      <c r="BT140" s="58"/>
      <c r="BU140" s="70"/>
      <c r="BV140" s="57"/>
      <c r="BW140" s="57"/>
      <c r="BX140" s="57"/>
      <c r="BY140" s="58"/>
      <c r="BZ140" s="484"/>
      <c r="CA140" s="70"/>
      <c r="CB140" s="57"/>
      <c r="CC140" s="57"/>
      <c r="CD140" s="57"/>
      <c r="CE140" s="57"/>
      <c r="CF140" s="58"/>
      <c r="CG140" s="70"/>
      <c r="CH140" s="57"/>
      <c r="CI140" s="57"/>
      <c r="CJ140" s="57"/>
      <c r="CK140" s="57"/>
      <c r="CL140" s="58"/>
      <c r="CM140" s="70"/>
      <c r="CN140" s="57"/>
      <c r="CO140" s="57"/>
      <c r="CP140" s="57"/>
      <c r="CQ140" s="57"/>
      <c r="CR140" s="58"/>
      <c r="CS140" s="70"/>
      <c r="CT140" s="57"/>
      <c r="CU140" s="57"/>
      <c r="CV140" s="57"/>
      <c r="CW140" s="57"/>
      <c r="CX140" s="58"/>
      <c r="CY140" s="70"/>
      <c r="CZ140" s="57"/>
      <c r="DA140" s="57"/>
      <c r="DB140" s="57"/>
      <c r="DC140" s="57"/>
      <c r="DD140" s="58"/>
      <c r="DE140" s="70"/>
      <c r="DF140" s="57"/>
      <c r="DG140" s="57"/>
      <c r="DH140" s="57"/>
      <c r="DI140" s="57"/>
      <c r="DJ140" s="58"/>
      <c r="DK140" s="53"/>
      <c r="DL140" s="43"/>
      <c r="DM140" s="43"/>
      <c r="DN140" s="43"/>
      <c r="DO140" s="43"/>
      <c r="DP140" s="43"/>
      <c r="DQ140" s="43"/>
      <c r="DR140" s="43"/>
      <c r="DS140" s="43"/>
      <c r="DT140" s="43"/>
      <c r="DU140" s="43"/>
      <c r="DV140" s="43"/>
      <c r="DW140" s="43"/>
      <c r="DX140" s="43"/>
      <c r="DY140" s="43"/>
      <c r="DZ140" s="43"/>
      <c r="EA140" s="43"/>
      <c r="EB140" s="43"/>
      <c r="EC140" s="43"/>
      <c r="ED140" s="43"/>
      <c r="EE140" s="43"/>
      <c r="EF140" s="43"/>
      <c r="EG140" s="43"/>
      <c r="EH140" s="43"/>
      <c r="EI140" s="43"/>
      <c r="EJ140" s="43"/>
      <c r="EK140" s="43"/>
      <c r="EL140" s="43"/>
      <c r="EM140" s="43"/>
      <c r="EN140" s="43"/>
      <c r="EO140" s="43"/>
      <c r="EP140" s="43"/>
      <c r="EQ140" s="43"/>
      <c r="ER140" s="43"/>
      <c r="ES140" s="43"/>
      <c r="ET140" s="43"/>
      <c r="EU140" s="43"/>
      <c r="EV140" s="43"/>
      <c r="EW140" s="43"/>
      <c r="EX140" s="43"/>
      <c r="EY140" s="43"/>
      <c r="EZ140" s="43"/>
      <c r="FA140" s="43"/>
      <c r="FB140" s="43"/>
      <c r="FC140" s="43"/>
      <c r="FD140" s="43"/>
      <c r="FE140" s="43"/>
      <c r="FF140" s="43"/>
      <c r="FG140" s="43"/>
      <c r="FH140" s="43"/>
      <c r="FI140" s="43"/>
      <c r="FJ140" s="43"/>
      <c r="FK140" s="43"/>
      <c r="FL140" s="43"/>
      <c r="FM140" s="43"/>
      <c r="FN140" s="43"/>
      <c r="FO140" s="43"/>
      <c r="FP140" s="43"/>
      <c r="FQ140" s="43"/>
      <c r="FR140" s="43"/>
      <c r="FS140" s="43"/>
      <c r="FT140" s="43"/>
      <c r="FU140" s="43"/>
      <c r="FV140" s="43"/>
      <c r="FW140" s="43"/>
      <c r="FX140" s="43"/>
      <c r="FY140" s="43"/>
      <c r="FZ140" s="43"/>
      <c r="GA140" s="43"/>
      <c r="GB140" s="43"/>
      <c r="GC140" s="43"/>
      <c r="GD140" s="43"/>
      <c r="GE140" s="43"/>
      <c r="GF140" s="43"/>
      <c r="GG140" s="43"/>
      <c r="GH140" s="43"/>
      <c r="GI140" s="43"/>
      <c r="GJ140" s="43"/>
      <c r="GK140" s="43"/>
      <c r="GL140" s="43"/>
      <c r="GM140" s="43"/>
      <c r="GN140" s="43"/>
      <c r="GO140" s="43"/>
      <c r="GP140" s="43"/>
      <c r="GQ140" s="43"/>
      <c r="GR140" s="43"/>
      <c r="GS140" s="43"/>
      <c r="GT140" s="43"/>
      <c r="GU140" s="43"/>
      <c r="GV140" s="43"/>
      <c r="GW140" s="43"/>
    </row>
    <row r="141" ht="15.0" customHeight="1">
      <c r="A141" s="318"/>
      <c r="B141" s="70"/>
      <c r="C141" s="57"/>
      <c r="D141" s="57"/>
      <c r="E141" s="58"/>
      <c r="F141" s="70"/>
      <c r="G141" s="57"/>
      <c r="H141" s="57"/>
      <c r="I141" s="57"/>
      <c r="J141" s="57"/>
      <c r="K141" s="57"/>
      <c r="L141" s="57"/>
      <c r="M141" s="57"/>
      <c r="N141" s="57"/>
      <c r="O141" s="57"/>
      <c r="P141" s="58"/>
      <c r="Q141" s="70"/>
      <c r="R141" s="57"/>
      <c r="S141" s="57"/>
      <c r="T141" s="58"/>
      <c r="U141" s="70"/>
      <c r="V141" s="57"/>
      <c r="W141" s="57"/>
      <c r="X141" s="57"/>
      <c r="Y141" s="57"/>
      <c r="Z141" s="57"/>
      <c r="AA141" s="57"/>
      <c r="AB141" s="57"/>
      <c r="AC141" s="57"/>
      <c r="AD141" s="57"/>
      <c r="AE141" s="58"/>
      <c r="AF141" s="484"/>
      <c r="AG141" s="307"/>
      <c r="AH141" s="49"/>
      <c r="AI141" s="49"/>
      <c r="AJ141" s="49"/>
      <c r="AK141" s="50"/>
      <c r="AL141" s="307"/>
      <c r="AM141" s="49"/>
      <c r="AN141" s="49"/>
      <c r="AO141" s="49"/>
      <c r="AP141" s="50"/>
      <c r="AQ141" s="307"/>
      <c r="AR141" s="49"/>
      <c r="AS141" s="49"/>
      <c r="AT141" s="49"/>
      <c r="AU141" s="50"/>
      <c r="AV141" s="307"/>
      <c r="AW141" s="49"/>
      <c r="AX141" s="49"/>
      <c r="AY141" s="49"/>
      <c r="AZ141" s="50"/>
      <c r="BA141" s="307"/>
      <c r="BB141" s="49"/>
      <c r="BC141" s="49"/>
      <c r="BD141" s="49"/>
      <c r="BE141" s="50"/>
      <c r="BF141" s="307"/>
      <c r="BG141" s="49"/>
      <c r="BH141" s="49"/>
      <c r="BI141" s="49"/>
      <c r="BJ141" s="50"/>
      <c r="BK141" s="307"/>
      <c r="BL141" s="49"/>
      <c r="BM141" s="49"/>
      <c r="BN141" s="49"/>
      <c r="BO141" s="50"/>
      <c r="BP141" s="307"/>
      <c r="BQ141" s="49"/>
      <c r="BR141" s="49"/>
      <c r="BS141" s="49"/>
      <c r="BT141" s="50"/>
      <c r="BU141" s="307"/>
      <c r="BV141" s="49"/>
      <c r="BW141" s="49"/>
      <c r="BX141" s="49"/>
      <c r="BY141" s="50"/>
      <c r="BZ141" s="484"/>
      <c r="CA141" s="73"/>
      <c r="CB141" s="49"/>
      <c r="CC141" s="49"/>
      <c r="CD141" s="49"/>
      <c r="CE141" s="49"/>
      <c r="CF141" s="50"/>
      <c r="CG141" s="73"/>
      <c r="CH141" s="49"/>
      <c r="CI141" s="49"/>
      <c r="CJ141" s="49"/>
      <c r="CK141" s="49"/>
      <c r="CL141" s="50"/>
      <c r="CM141" s="73"/>
      <c r="CN141" s="49"/>
      <c r="CO141" s="49"/>
      <c r="CP141" s="49"/>
      <c r="CQ141" s="49"/>
      <c r="CR141" s="50"/>
      <c r="CS141" s="73"/>
      <c r="CT141" s="49"/>
      <c r="CU141" s="49"/>
      <c r="CV141" s="49"/>
      <c r="CW141" s="49"/>
      <c r="CX141" s="50"/>
      <c r="CY141" s="73"/>
      <c r="CZ141" s="49"/>
      <c r="DA141" s="49"/>
      <c r="DB141" s="49"/>
      <c r="DC141" s="49"/>
      <c r="DD141" s="50"/>
      <c r="DE141" s="73"/>
      <c r="DF141" s="49"/>
      <c r="DG141" s="49"/>
      <c r="DH141" s="49"/>
      <c r="DI141" s="49"/>
      <c r="DJ141" s="50"/>
      <c r="DK141" s="53"/>
      <c r="DL141" s="43"/>
      <c r="DM141" s="43"/>
      <c r="DN141" s="43"/>
      <c r="DO141" s="43"/>
      <c r="DP141" s="43"/>
      <c r="DQ141" s="43"/>
      <c r="DR141" s="43"/>
      <c r="DS141" s="43"/>
      <c r="DT141" s="43"/>
      <c r="DU141" s="43"/>
      <c r="DV141" s="43"/>
      <c r="DW141" s="488" t="s">
        <v>771</v>
      </c>
      <c r="DX141" s="355"/>
      <c r="DY141" s="355"/>
      <c r="DZ141" s="355"/>
      <c r="EA141" s="355"/>
      <c r="EB141" s="355"/>
      <c r="EC141" s="355"/>
      <c r="ED141" s="355"/>
      <c r="EE141" s="355"/>
      <c r="EF141" s="355"/>
      <c r="EG141" s="355"/>
      <c r="EH141" s="355"/>
      <c r="EI141" s="355"/>
      <c r="EJ141" s="355"/>
      <c r="EK141" s="355"/>
      <c r="EL141" s="355"/>
      <c r="EM141" s="355"/>
      <c r="EN141" s="291"/>
      <c r="EO141" s="43"/>
      <c r="EP141" s="43"/>
      <c r="EQ141" s="43"/>
      <c r="ER141" s="43"/>
      <c r="ES141" s="43"/>
      <c r="ET141" s="43"/>
      <c r="EU141" s="43"/>
      <c r="EV141" s="43"/>
      <c r="EW141" s="43"/>
      <c r="EX141" s="43"/>
      <c r="EY141" s="43"/>
      <c r="EZ141" s="43"/>
      <c r="FA141" s="43"/>
      <c r="FB141" s="43"/>
      <c r="FC141" s="43"/>
      <c r="FD141" s="43"/>
      <c r="FE141" s="43"/>
      <c r="FF141" s="43"/>
      <c r="FG141" s="43"/>
      <c r="FH141" s="43"/>
      <c r="FI141" s="43"/>
      <c r="FJ141" s="43"/>
      <c r="FK141" s="43"/>
      <c r="FL141" s="43"/>
      <c r="FM141" s="43"/>
      <c r="FN141" s="43"/>
      <c r="FO141" s="43"/>
      <c r="FP141" s="43"/>
      <c r="FQ141" s="43"/>
      <c r="FR141" s="43"/>
      <c r="FS141" s="43"/>
      <c r="FT141" s="43"/>
      <c r="FU141" s="43"/>
      <c r="FV141" s="43"/>
      <c r="FW141" s="43"/>
      <c r="FX141" s="43"/>
      <c r="FY141" s="43"/>
      <c r="FZ141" s="43"/>
      <c r="GA141" s="43"/>
      <c r="GB141" s="43"/>
      <c r="GC141" s="43"/>
      <c r="GD141" s="43"/>
      <c r="GE141" s="43"/>
      <c r="GF141" s="43"/>
      <c r="GG141" s="43"/>
      <c r="GH141" s="43"/>
      <c r="GI141" s="43"/>
      <c r="GJ141" s="43"/>
      <c r="GK141" s="43"/>
      <c r="GL141" s="43"/>
      <c r="GM141" s="43"/>
      <c r="GN141" s="43"/>
      <c r="GO141" s="43"/>
      <c r="GP141" s="43"/>
      <c r="GQ141" s="43"/>
      <c r="GR141" s="43"/>
      <c r="GS141" s="43"/>
      <c r="GT141" s="43"/>
      <c r="GU141" s="43"/>
      <c r="GV141" s="43"/>
      <c r="GW141" s="43"/>
    </row>
    <row r="142" ht="15.0" customHeight="1">
      <c r="A142" s="318"/>
      <c r="B142" s="490" t="s">
        <v>772</v>
      </c>
      <c r="C142" s="49"/>
      <c r="D142" s="49"/>
      <c r="E142" s="50"/>
      <c r="F142" s="73"/>
      <c r="G142" s="49"/>
      <c r="H142" s="49"/>
      <c r="I142" s="49"/>
      <c r="J142" s="49"/>
      <c r="K142" s="49"/>
      <c r="L142" s="49"/>
      <c r="M142" s="49"/>
      <c r="N142" s="49"/>
      <c r="O142" s="49"/>
      <c r="P142" s="50"/>
      <c r="Q142" s="481" t="s">
        <v>773</v>
      </c>
      <c r="R142" s="49"/>
      <c r="S142" s="49"/>
      <c r="T142" s="50"/>
      <c r="U142" s="73"/>
      <c r="V142" s="49"/>
      <c r="W142" s="49"/>
      <c r="X142" s="49"/>
      <c r="Y142" s="49"/>
      <c r="Z142" s="49"/>
      <c r="AA142" s="49"/>
      <c r="AB142" s="49"/>
      <c r="AC142" s="49"/>
      <c r="AD142" s="49"/>
      <c r="AE142" s="50"/>
      <c r="AF142" s="484"/>
      <c r="AG142" s="70"/>
      <c r="AH142" s="57"/>
      <c r="AI142" s="57"/>
      <c r="AJ142" s="57"/>
      <c r="AK142" s="58"/>
      <c r="AL142" s="70"/>
      <c r="AM142" s="57"/>
      <c r="AN142" s="57"/>
      <c r="AO142" s="57"/>
      <c r="AP142" s="58"/>
      <c r="AQ142" s="70"/>
      <c r="AR142" s="57"/>
      <c r="AS142" s="57"/>
      <c r="AT142" s="57"/>
      <c r="AU142" s="58"/>
      <c r="AV142" s="70"/>
      <c r="AW142" s="57"/>
      <c r="AX142" s="57"/>
      <c r="AY142" s="57"/>
      <c r="AZ142" s="58"/>
      <c r="BA142" s="70"/>
      <c r="BB142" s="57"/>
      <c r="BC142" s="57"/>
      <c r="BD142" s="57"/>
      <c r="BE142" s="58"/>
      <c r="BF142" s="70"/>
      <c r="BG142" s="57"/>
      <c r="BH142" s="57"/>
      <c r="BI142" s="57"/>
      <c r="BJ142" s="58"/>
      <c r="BK142" s="70"/>
      <c r="BL142" s="57"/>
      <c r="BM142" s="57"/>
      <c r="BN142" s="57"/>
      <c r="BO142" s="58"/>
      <c r="BP142" s="70"/>
      <c r="BQ142" s="57"/>
      <c r="BR142" s="57"/>
      <c r="BS142" s="57"/>
      <c r="BT142" s="58"/>
      <c r="BU142" s="70"/>
      <c r="BV142" s="57"/>
      <c r="BW142" s="57"/>
      <c r="BX142" s="57"/>
      <c r="BY142" s="58"/>
      <c r="BZ142" s="484"/>
      <c r="CA142" s="70"/>
      <c r="CB142" s="57"/>
      <c r="CC142" s="57"/>
      <c r="CD142" s="57"/>
      <c r="CE142" s="57"/>
      <c r="CF142" s="58"/>
      <c r="CG142" s="70"/>
      <c r="CH142" s="57"/>
      <c r="CI142" s="57"/>
      <c r="CJ142" s="57"/>
      <c r="CK142" s="57"/>
      <c r="CL142" s="58"/>
      <c r="CM142" s="70"/>
      <c r="CN142" s="57"/>
      <c r="CO142" s="57"/>
      <c r="CP142" s="57"/>
      <c r="CQ142" s="57"/>
      <c r="CR142" s="58"/>
      <c r="CS142" s="70"/>
      <c r="CT142" s="57"/>
      <c r="CU142" s="57"/>
      <c r="CV142" s="57"/>
      <c r="CW142" s="57"/>
      <c r="CX142" s="58"/>
      <c r="CY142" s="70"/>
      <c r="CZ142" s="57"/>
      <c r="DA142" s="57"/>
      <c r="DB142" s="57"/>
      <c r="DC142" s="57"/>
      <c r="DD142" s="58"/>
      <c r="DE142" s="70"/>
      <c r="DF142" s="57"/>
      <c r="DG142" s="57"/>
      <c r="DH142" s="57"/>
      <c r="DI142" s="57"/>
      <c r="DJ142" s="58"/>
      <c r="DK142" s="53"/>
      <c r="DL142" s="43"/>
      <c r="DM142" s="43"/>
      <c r="DN142" s="43"/>
      <c r="DO142" s="43"/>
      <c r="DP142" s="43"/>
      <c r="DQ142" s="43"/>
      <c r="DR142" s="43"/>
      <c r="DS142" s="43"/>
      <c r="DT142" s="43"/>
      <c r="DU142" s="43"/>
      <c r="DV142" s="43"/>
      <c r="DW142" s="319"/>
      <c r="DX142" s="320"/>
      <c r="DY142" s="320"/>
      <c r="DZ142" s="320"/>
      <c r="EA142" s="320"/>
      <c r="EB142" s="320"/>
      <c r="EC142" s="320"/>
      <c r="ED142" s="320"/>
      <c r="EE142" s="320"/>
      <c r="EF142" s="320"/>
      <c r="EG142" s="320"/>
      <c r="EH142" s="320"/>
      <c r="EI142" s="320"/>
      <c r="EJ142" s="320"/>
      <c r="EK142" s="320"/>
      <c r="EL142" s="320"/>
      <c r="EM142" s="320"/>
      <c r="EN142" s="321"/>
      <c r="EO142" s="43"/>
      <c r="EP142" s="43"/>
      <c r="EQ142" s="43"/>
      <c r="ER142" s="43"/>
      <c r="ES142" s="43"/>
      <c r="ET142" s="43"/>
      <c r="EU142" s="43"/>
      <c r="EV142" s="43"/>
      <c r="EW142" s="43"/>
      <c r="EX142" s="43"/>
      <c r="EY142" s="43"/>
      <c r="EZ142" s="43"/>
      <c r="FA142" s="43"/>
      <c r="FB142" s="43"/>
      <c r="FC142" s="43"/>
      <c r="FD142" s="43"/>
      <c r="FE142" s="43"/>
      <c r="FF142" s="43"/>
      <c r="FG142" s="43"/>
      <c r="FH142" s="43"/>
      <c r="FI142" s="43"/>
      <c r="FJ142" s="43"/>
      <c r="FK142" s="43"/>
      <c r="FL142" s="43"/>
      <c r="FM142" s="43"/>
      <c r="FN142" s="43"/>
      <c r="FO142" s="43"/>
      <c r="FP142" s="43"/>
      <c r="FQ142" s="43"/>
      <c r="FR142" s="43"/>
      <c r="FS142" s="43"/>
      <c r="FT142" s="43"/>
      <c r="FU142" s="43"/>
      <c r="FV142" s="43"/>
      <c r="FW142" s="43"/>
      <c r="FX142" s="43"/>
      <c r="FY142" s="43"/>
      <c r="FZ142" s="43"/>
      <c r="GA142" s="43"/>
      <c r="GB142" s="43"/>
      <c r="GC142" s="43"/>
      <c r="GD142" s="43"/>
      <c r="GE142" s="43"/>
      <c r="GF142" s="43"/>
      <c r="GG142" s="43"/>
      <c r="GH142" s="43"/>
      <c r="GI142" s="43"/>
      <c r="GJ142" s="43"/>
      <c r="GK142" s="43"/>
      <c r="GL142" s="43"/>
      <c r="GM142" s="43"/>
      <c r="GN142" s="43"/>
      <c r="GO142" s="43"/>
      <c r="GP142" s="43"/>
      <c r="GQ142" s="43"/>
      <c r="GR142" s="43"/>
      <c r="GS142" s="43"/>
      <c r="GT142" s="43"/>
      <c r="GU142" s="43"/>
      <c r="GV142" s="43"/>
      <c r="GW142" s="43"/>
    </row>
    <row r="143" ht="15.0" customHeight="1">
      <c r="A143" s="318"/>
      <c r="B143" s="70"/>
      <c r="C143" s="57"/>
      <c r="D143" s="57"/>
      <c r="E143" s="58"/>
      <c r="F143" s="70"/>
      <c r="G143" s="57"/>
      <c r="H143" s="57"/>
      <c r="I143" s="57"/>
      <c r="J143" s="57"/>
      <c r="K143" s="57"/>
      <c r="L143" s="57"/>
      <c r="M143" s="57"/>
      <c r="N143" s="57"/>
      <c r="O143" s="57"/>
      <c r="P143" s="58"/>
      <c r="Q143" s="70"/>
      <c r="R143" s="57"/>
      <c r="S143" s="57"/>
      <c r="T143" s="58"/>
      <c r="U143" s="70"/>
      <c r="V143" s="57"/>
      <c r="W143" s="57"/>
      <c r="X143" s="57"/>
      <c r="Y143" s="57"/>
      <c r="Z143" s="57"/>
      <c r="AA143" s="57"/>
      <c r="AB143" s="57"/>
      <c r="AC143" s="57"/>
      <c r="AD143" s="57"/>
      <c r="AE143" s="58"/>
      <c r="AF143" s="484"/>
      <c r="AG143" s="307"/>
      <c r="AH143" s="49"/>
      <c r="AI143" s="49"/>
      <c r="AJ143" s="49"/>
      <c r="AK143" s="50"/>
      <c r="AL143" s="307"/>
      <c r="AM143" s="49"/>
      <c r="AN143" s="49"/>
      <c r="AO143" s="49"/>
      <c r="AP143" s="50"/>
      <c r="AQ143" s="307"/>
      <c r="AR143" s="49"/>
      <c r="AS143" s="49"/>
      <c r="AT143" s="49"/>
      <c r="AU143" s="50"/>
      <c r="AV143" s="307"/>
      <c r="AW143" s="49"/>
      <c r="AX143" s="49"/>
      <c r="AY143" s="49"/>
      <c r="AZ143" s="50"/>
      <c r="BA143" s="307"/>
      <c r="BB143" s="49"/>
      <c r="BC143" s="49"/>
      <c r="BD143" s="49"/>
      <c r="BE143" s="50"/>
      <c r="BF143" s="307"/>
      <c r="BG143" s="49"/>
      <c r="BH143" s="49"/>
      <c r="BI143" s="49"/>
      <c r="BJ143" s="50"/>
      <c r="BK143" s="307"/>
      <c r="BL143" s="49"/>
      <c r="BM143" s="49"/>
      <c r="BN143" s="49"/>
      <c r="BO143" s="50"/>
      <c r="BP143" s="307"/>
      <c r="BQ143" s="49"/>
      <c r="BR143" s="49"/>
      <c r="BS143" s="49"/>
      <c r="BT143" s="50"/>
      <c r="BU143" s="307"/>
      <c r="BV143" s="49"/>
      <c r="BW143" s="49"/>
      <c r="BX143" s="49"/>
      <c r="BY143" s="50"/>
      <c r="BZ143" s="484"/>
      <c r="CA143" s="73"/>
      <c r="CB143" s="49"/>
      <c r="CC143" s="49"/>
      <c r="CD143" s="49"/>
      <c r="CE143" s="49"/>
      <c r="CF143" s="50"/>
      <c r="CG143" s="73"/>
      <c r="CH143" s="49"/>
      <c r="CI143" s="49"/>
      <c r="CJ143" s="49"/>
      <c r="CK143" s="49"/>
      <c r="CL143" s="50"/>
      <c r="CM143" s="73"/>
      <c r="CN143" s="49"/>
      <c r="CO143" s="49"/>
      <c r="CP143" s="49"/>
      <c r="CQ143" s="49"/>
      <c r="CR143" s="50"/>
      <c r="CS143" s="73"/>
      <c r="CT143" s="49"/>
      <c r="CU143" s="49"/>
      <c r="CV143" s="49"/>
      <c r="CW143" s="49"/>
      <c r="CX143" s="50"/>
      <c r="CY143" s="73"/>
      <c r="CZ143" s="49"/>
      <c r="DA143" s="49"/>
      <c r="DB143" s="49"/>
      <c r="DC143" s="49"/>
      <c r="DD143" s="50"/>
      <c r="DE143" s="73"/>
      <c r="DF143" s="49"/>
      <c r="DG143" s="49"/>
      <c r="DH143" s="49"/>
      <c r="DI143" s="49"/>
      <c r="DJ143" s="50"/>
      <c r="DK143" s="53"/>
      <c r="DL143" s="43"/>
      <c r="DM143" s="43"/>
      <c r="DN143" s="43"/>
      <c r="DO143" s="43"/>
      <c r="DP143" s="43"/>
      <c r="DQ143" s="43"/>
      <c r="DR143" s="43"/>
      <c r="DS143" s="43"/>
      <c r="DT143" s="43"/>
      <c r="DU143" s="43"/>
      <c r="DV143" s="43"/>
      <c r="DW143" s="43"/>
      <c r="DX143" s="43"/>
      <c r="DY143" s="43"/>
      <c r="DZ143" s="43"/>
      <c r="EA143" s="43"/>
      <c r="EB143" s="43"/>
      <c r="EC143" s="43"/>
      <c r="ED143" s="43"/>
      <c r="EE143" s="43"/>
      <c r="EF143" s="43"/>
      <c r="EG143" s="43"/>
      <c r="EH143" s="43"/>
      <c r="EI143" s="43"/>
      <c r="EJ143" s="43"/>
      <c r="EK143" s="43"/>
      <c r="EL143" s="43"/>
      <c r="EM143" s="43"/>
      <c r="EN143" s="43"/>
      <c r="EO143" s="43"/>
      <c r="EP143" s="43"/>
      <c r="EQ143" s="43"/>
      <c r="ER143" s="43"/>
      <c r="ES143" s="43"/>
      <c r="ET143" s="43"/>
      <c r="EU143" s="43"/>
      <c r="EV143" s="43"/>
      <c r="EW143" s="43"/>
      <c r="EX143" s="43"/>
      <c r="EY143" s="43"/>
      <c r="EZ143" s="43"/>
      <c r="FA143" s="43"/>
      <c r="FB143" s="43"/>
      <c r="FC143" s="43"/>
      <c r="FD143" s="43"/>
      <c r="FE143" s="43"/>
      <c r="FF143" s="43"/>
      <c r="FG143" s="43"/>
      <c r="FH143" s="43"/>
      <c r="FI143" s="43"/>
      <c r="FJ143" s="43"/>
      <c r="FK143" s="43"/>
      <c r="FL143" s="43"/>
      <c r="FM143" s="43"/>
      <c r="FN143" s="43"/>
      <c r="FO143" s="43"/>
      <c r="FP143" s="43"/>
      <c r="FQ143" s="43"/>
      <c r="FR143" s="43"/>
      <c r="FS143" s="43"/>
      <c r="FT143" s="43"/>
      <c r="FU143" s="43"/>
      <c r="FV143" s="43"/>
      <c r="FW143" s="43"/>
      <c r="FX143" s="43"/>
      <c r="FY143" s="43"/>
      <c r="FZ143" s="43"/>
      <c r="GA143" s="43"/>
      <c r="GB143" s="43"/>
      <c r="GC143" s="43"/>
      <c r="GD143" s="43"/>
      <c r="GE143" s="43"/>
      <c r="GF143" s="43"/>
      <c r="GG143" s="43"/>
      <c r="GH143" s="43"/>
      <c r="GI143" s="43"/>
      <c r="GJ143" s="43"/>
      <c r="GK143" s="43"/>
      <c r="GL143" s="43"/>
      <c r="GM143" s="43"/>
      <c r="GN143" s="43"/>
      <c r="GO143" s="43"/>
      <c r="GP143" s="43"/>
      <c r="GQ143" s="43"/>
      <c r="GR143" s="43"/>
      <c r="GS143" s="43"/>
      <c r="GT143" s="43"/>
      <c r="GU143" s="43"/>
      <c r="GV143" s="43"/>
      <c r="GW143" s="43"/>
    </row>
    <row r="144" ht="15.0" customHeight="1">
      <c r="A144" s="318"/>
      <c r="B144" s="481" t="s">
        <v>775</v>
      </c>
      <c r="C144" s="49"/>
      <c r="D144" s="49"/>
      <c r="E144" s="50"/>
      <c r="F144" s="73"/>
      <c r="G144" s="49"/>
      <c r="H144" s="49"/>
      <c r="I144" s="49"/>
      <c r="J144" s="49"/>
      <c r="K144" s="49"/>
      <c r="L144" s="49"/>
      <c r="M144" s="49"/>
      <c r="N144" s="49"/>
      <c r="O144" s="49"/>
      <c r="P144" s="50"/>
      <c r="Q144" s="481" t="s">
        <v>776</v>
      </c>
      <c r="R144" s="49"/>
      <c r="S144" s="49"/>
      <c r="T144" s="50"/>
      <c r="U144" s="73"/>
      <c r="V144" s="49"/>
      <c r="W144" s="49"/>
      <c r="X144" s="49"/>
      <c r="Y144" s="49"/>
      <c r="Z144" s="49"/>
      <c r="AA144" s="49"/>
      <c r="AB144" s="49"/>
      <c r="AC144" s="49"/>
      <c r="AD144" s="49"/>
      <c r="AE144" s="50"/>
      <c r="AF144" s="484"/>
      <c r="AG144" s="70"/>
      <c r="AH144" s="57"/>
      <c r="AI144" s="57"/>
      <c r="AJ144" s="57"/>
      <c r="AK144" s="58"/>
      <c r="AL144" s="70"/>
      <c r="AM144" s="57"/>
      <c r="AN144" s="57"/>
      <c r="AO144" s="57"/>
      <c r="AP144" s="58"/>
      <c r="AQ144" s="70"/>
      <c r="AR144" s="57"/>
      <c r="AS144" s="57"/>
      <c r="AT144" s="57"/>
      <c r="AU144" s="58"/>
      <c r="AV144" s="70"/>
      <c r="AW144" s="57"/>
      <c r="AX144" s="57"/>
      <c r="AY144" s="57"/>
      <c r="AZ144" s="58"/>
      <c r="BA144" s="70"/>
      <c r="BB144" s="57"/>
      <c r="BC144" s="57"/>
      <c r="BD144" s="57"/>
      <c r="BE144" s="58"/>
      <c r="BF144" s="70"/>
      <c r="BG144" s="57"/>
      <c r="BH144" s="57"/>
      <c r="BI144" s="57"/>
      <c r="BJ144" s="58"/>
      <c r="BK144" s="70"/>
      <c r="BL144" s="57"/>
      <c r="BM144" s="57"/>
      <c r="BN144" s="57"/>
      <c r="BO144" s="58"/>
      <c r="BP144" s="70"/>
      <c r="BQ144" s="57"/>
      <c r="BR144" s="57"/>
      <c r="BS144" s="57"/>
      <c r="BT144" s="58"/>
      <c r="BU144" s="70"/>
      <c r="BV144" s="57"/>
      <c r="BW144" s="57"/>
      <c r="BX144" s="57"/>
      <c r="BY144" s="58"/>
      <c r="BZ144" s="484"/>
      <c r="CA144" s="70"/>
      <c r="CB144" s="57"/>
      <c r="CC144" s="57"/>
      <c r="CD144" s="57"/>
      <c r="CE144" s="57"/>
      <c r="CF144" s="58"/>
      <c r="CG144" s="70"/>
      <c r="CH144" s="57"/>
      <c r="CI144" s="57"/>
      <c r="CJ144" s="57"/>
      <c r="CK144" s="57"/>
      <c r="CL144" s="58"/>
      <c r="CM144" s="70"/>
      <c r="CN144" s="57"/>
      <c r="CO144" s="57"/>
      <c r="CP144" s="57"/>
      <c r="CQ144" s="57"/>
      <c r="CR144" s="58"/>
      <c r="CS144" s="70"/>
      <c r="CT144" s="57"/>
      <c r="CU144" s="57"/>
      <c r="CV144" s="57"/>
      <c r="CW144" s="57"/>
      <c r="CX144" s="58"/>
      <c r="CY144" s="70"/>
      <c r="CZ144" s="57"/>
      <c r="DA144" s="57"/>
      <c r="DB144" s="57"/>
      <c r="DC144" s="57"/>
      <c r="DD144" s="58"/>
      <c r="DE144" s="70"/>
      <c r="DF144" s="57"/>
      <c r="DG144" s="57"/>
      <c r="DH144" s="57"/>
      <c r="DI144" s="57"/>
      <c r="DJ144" s="58"/>
      <c r="DK144" s="53"/>
      <c r="DL144" s="43"/>
      <c r="DM144" s="43"/>
      <c r="DN144" s="43"/>
      <c r="DO144" s="43"/>
      <c r="DP144" s="43"/>
      <c r="DQ144" s="43"/>
      <c r="DR144" s="43"/>
      <c r="DS144" s="43"/>
      <c r="DT144" s="43"/>
      <c r="DU144" s="43"/>
      <c r="DV144" s="43"/>
      <c r="DW144" s="43"/>
      <c r="DX144" s="43"/>
      <c r="DY144" s="43"/>
      <c r="DZ144" s="43"/>
      <c r="EA144" s="43"/>
      <c r="EB144" s="43"/>
      <c r="EC144" s="43"/>
      <c r="ED144" s="43"/>
      <c r="EE144" s="43"/>
      <c r="EF144" s="43"/>
      <c r="EG144" s="43"/>
      <c r="EH144" s="43"/>
      <c r="EI144" s="43"/>
      <c r="EJ144" s="43"/>
      <c r="EK144" s="43"/>
      <c r="EL144" s="43"/>
      <c r="EM144" s="43"/>
      <c r="EN144" s="43"/>
      <c r="EO144" s="43"/>
      <c r="EP144" s="43"/>
      <c r="EQ144" s="43"/>
      <c r="ER144" s="43"/>
      <c r="ES144" s="43"/>
      <c r="ET144" s="43"/>
      <c r="EU144" s="43"/>
      <c r="EV144" s="43"/>
      <c r="EW144" s="43"/>
      <c r="EX144" s="43"/>
      <c r="EY144" s="43"/>
      <c r="EZ144" s="43"/>
      <c r="FA144" s="43"/>
      <c r="FB144" s="43"/>
      <c r="FC144" s="43"/>
      <c r="FD144" s="43"/>
      <c r="FE144" s="43"/>
      <c r="FF144" s="43"/>
      <c r="FG144" s="43"/>
      <c r="FH144" s="43"/>
      <c r="FI144" s="43"/>
      <c r="FJ144" s="43"/>
      <c r="FK144" s="43"/>
      <c r="FL144" s="43"/>
      <c r="FM144" s="43"/>
      <c r="FN144" s="43"/>
      <c r="FO144" s="43"/>
      <c r="FP144" s="43"/>
      <c r="FQ144" s="43"/>
      <c r="FR144" s="43"/>
      <c r="FS144" s="43"/>
      <c r="FT144" s="43"/>
      <c r="FU144" s="43"/>
      <c r="FV144" s="43"/>
      <c r="FW144" s="43"/>
      <c r="FX144" s="43"/>
      <c r="FY144" s="43"/>
      <c r="FZ144" s="43"/>
      <c r="GA144" s="43"/>
      <c r="GB144" s="43"/>
      <c r="GC144" s="43"/>
      <c r="GD144" s="43"/>
      <c r="GE144" s="43"/>
      <c r="GF144" s="43"/>
      <c r="GG144" s="43"/>
      <c r="GH144" s="43"/>
      <c r="GI144" s="43"/>
      <c r="GJ144" s="43"/>
      <c r="GK144" s="43"/>
      <c r="GL144" s="43"/>
      <c r="GM144" s="43"/>
      <c r="GN144" s="43"/>
      <c r="GO144" s="43"/>
      <c r="GP144" s="43"/>
      <c r="GQ144" s="43"/>
      <c r="GR144" s="43"/>
      <c r="GS144" s="43"/>
      <c r="GT144" s="43"/>
      <c r="GU144" s="43"/>
      <c r="GV144" s="43"/>
      <c r="GW144" s="43"/>
    </row>
    <row r="145" ht="15.0" customHeight="1">
      <c r="A145" s="318"/>
      <c r="B145" s="70"/>
      <c r="C145" s="57"/>
      <c r="D145" s="57"/>
      <c r="E145" s="58"/>
      <c r="F145" s="70"/>
      <c r="G145" s="57"/>
      <c r="H145" s="57"/>
      <c r="I145" s="57"/>
      <c r="J145" s="57"/>
      <c r="K145" s="57"/>
      <c r="L145" s="57"/>
      <c r="M145" s="57"/>
      <c r="N145" s="57"/>
      <c r="O145" s="57"/>
      <c r="P145" s="58"/>
      <c r="Q145" s="70"/>
      <c r="R145" s="57"/>
      <c r="S145" s="57"/>
      <c r="T145" s="58"/>
      <c r="U145" s="70"/>
      <c r="V145" s="57"/>
      <c r="W145" s="57"/>
      <c r="X145" s="57"/>
      <c r="Y145" s="57"/>
      <c r="Z145" s="57"/>
      <c r="AA145" s="57"/>
      <c r="AB145" s="57"/>
      <c r="AC145" s="57"/>
      <c r="AD145" s="57"/>
      <c r="AE145" s="58"/>
      <c r="AF145" s="484"/>
      <c r="AG145" s="307"/>
      <c r="AH145" s="49"/>
      <c r="AI145" s="49"/>
      <c r="AJ145" s="49"/>
      <c r="AK145" s="50"/>
      <c r="AL145" s="307"/>
      <c r="AM145" s="49"/>
      <c r="AN145" s="49"/>
      <c r="AO145" s="49"/>
      <c r="AP145" s="50"/>
      <c r="AQ145" s="307"/>
      <c r="AR145" s="49"/>
      <c r="AS145" s="49"/>
      <c r="AT145" s="49"/>
      <c r="AU145" s="50"/>
      <c r="AV145" s="307"/>
      <c r="AW145" s="49"/>
      <c r="AX145" s="49"/>
      <c r="AY145" s="49"/>
      <c r="AZ145" s="50"/>
      <c r="BA145" s="307"/>
      <c r="BB145" s="49"/>
      <c r="BC145" s="49"/>
      <c r="BD145" s="49"/>
      <c r="BE145" s="50"/>
      <c r="BF145" s="307"/>
      <c r="BG145" s="49"/>
      <c r="BH145" s="49"/>
      <c r="BI145" s="49"/>
      <c r="BJ145" s="50"/>
      <c r="BK145" s="307"/>
      <c r="BL145" s="49"/>
      <c r="BM145" s="49"/>
      <c r="BN145" s="49"/>
      <c r="BO145" s="50"/>
      <c r="BP145" s="307"/>
      <c r="BQ145" s="49"/>
      <c r="BR145" s="49"/>
      <c r="BS145" s="49"/>
      <c r="BT145" s="50"/>
      <c r="BU145" s="307"/>
      <c r="BV145" s="49"/>
      <c r="BW145" s="49"/>
      <c r="BX145" s="49"/>
      <c r="BY145" s="50"/>
      <c r="BZ145" s="484"/>
      <c r="CA145" s="73"/>
      <c r="CB145" s="49"/>
      <c r="CC145" s="49"/>
      <c r="CD145" s="49"/>
      <c r="CE145" s="49"/>
      <c r="CF145" s="50"/>
      <c r="CG145" s="73"/>
      <c r="CH145" s="49"/>
      <c r="CI145" s="49"/>
      <c r="CJ145" s="49"/>
      <c r="CK145" s="49"/>
      <c r="CL145" s="50"/>
      <c r="CM145" s="73"/>
      <c r="CN145" s="49"/>
      <c r="CO145" s="49"/>
      <c r="CP145" s="49"/>
      <c r="CQ145" s="49"/>
      <c r="CR145" s="50"/>
      <c r="CS145" s="73"/>
      <c r="CT145" s="49"/>
      <c r="CU145" s="49"/>
      <c r="CV145" s="49"/>
      <c r="CW145" s="49"/>
      <c r="CX145" s="50"/>
      <c r="CY145" s="73"/>
      <c r="CZ145" s="49"/>
      <c r="DA145" s="49"/>
      <c r="DB145" s="49"/>
      <c r="DC145" s="49"/>
      <c r="DD145" s="50"/>
      <c r="DE145" s="73"/>
      <c r="DF145" s="49"/>
      <c r="DG145" s="49"/>
      <c r="DH145" s="49"/>
      <c r="DI145" s="49"/>
      <c r="DJ145" s="50"/>
      <c r="DK145" s="53"/>
      <c r="DL145" s="43"/>
      <c r="DM145" s="43"/>
      <c r="DN145" s="43"/>
      <c r="DO145" s="43"/>
      <c r="DP145" s="43"/>
      <c r="DQ145" s="43"/>
      <c r="DR145" s="43"/>
      <c r="DS145" s="43"/>
      <c r="DT145" s="43"/>
      <c r="DU145" s="43"/>
      <c r="DV145" s="43"/>
      <c r="DW145" s="43"/>
      <c r="DX145" s="43"/>
      <c r="DY145" s="43"/>
      <c r="DZ145" s="43"/>
      <c r="EA145" s="43"/>
      <c r="EB145" s="43"/>
      <c r="EC145" s="43"/>
      <c r="ED145" s="43"/>
      <c r="EE145" s="43"/>
      <c r="EF145" s="43"/>
      <c r="EG145" s="43"/>
      <c r="EH145" s="43"/>
      <c r="EI145" s="43"/>
      <c r="EJ145" s="43"/>
      <c r="EK145" s="43"/>
      <c r="EL145" s="43"/>
      <c r="EM145" s="43"/>
      <c r="EN145" s="43"/>
      <c r="EO145" s="43"/>
      <c r="EP145" s="43"/>
      <c r="EQ145" s="43"/>
      <c r="ER145" s="43"/>
      <c r="ES145" s="43"/>
      <c r="ET145" s="43"/>
      <c r="EU145" s="43"/>
      <c r="EV145" s="43"/>
      <c r="EW145" s="43"/>
      <c r="EX145" s="43"/>
      <c r="EY145" s="43"/>
      <c r="EZ145" s="43"/>
      <c r="FA145" s="43"/>
      <c r="FB145" s="43"/>
      <c r="FC145" s="43"/>
      <c r="FD145" s="43"/>
      <c r="FE145" s="43"/>
      <c r="FF145" s="43"/>
      <c r="FG145" s="43"/>
      <c r="FH145" s="43"/>
      <c r="FI145" s="43"/>
      <c r="FJ145" s="43"/>
      <c r="FK145" s="43"/>
      <c r="FL145" s="43"/>
      <c r="FM145" s="43"/>
      <c r="FN145" s="43"/>
      <c r="FO145" s="43"/>
      <c r="FP145" s="43"/>
      <c r="FQ145" s="43"/>
      <c r="FR145" s="43"/>
      <c r="FS145" s="43"/>
      <c r="FT145" s="43"/>
      <c r="FU145" s="43"/>
      <c r="FV145" s="43"/>
      <c r="FW145" s="43"/>
      <c r="FX145" s="43"/>
      <c r="FY145" s="43"/>
      <c r="FZ145" s="43"/>
      <c r="GA145" s="43"/>
      <c r="GB145" s="43"/>
      <c r="GC145" s="43"/>
      <c r="GD145" s="43"/>
      <c r="GE145" s="43"/>
      <c r="GF145" s="43"/>
      <c r="GG145" s="43"/>
      <c r="GH145" s="43"/>
      <c r="GI145" s="43"/>
      <c r="GJ145" s="43"/>
      <c r="GK145" s="43"/>
      <c r="GL145" s="43"/>
      <c r="GM145" s="43"/>
      <c r="GN145" s="43"/>
      <c r="GO145" s="43"/>
      <c r="GP145" s="43"/>
      <c r="GQ145" s="43"/>
      <c r="GR145" s="43"/>
      <c r="GS145" s="43"/>
      <c r="GT145" s="43"/>
      <c r="GU145" s="43"/>
      <c r="GV145" s="43"/>
      <c r="GW145" s="43"/>
    </row>
    <row r="146" ht="15.0" customHeight="1">
      <c r="A146" s="318"/>
      <c r="B146" s="491" t="s">
        <v>777</v>
      </c>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7"/>
      <c r="AF146" s="484"/>
      <c r="AG146" s="70"/>
      <c r="AH146" s="57"/>
      <c r="AI146" s="57"/>
      <c r="AJ146" s="57"/>
      <c r="AK146" s="58"/>
      <c r="AL146" s="70"/>
      <c r="AM146" s="57"/>
      <c r="AN146" s="57"/>
      <c r="AO146" s="57"/>
      <c r="AP146" s="58"/>
      <c r="AQ146" s="70"/>
      <c r="AR146" s="57"/>
      <c r="AS146" s="57"/>
      <c r="AT146" s="57"/>
      <c r="AU146" s="58"/>
      <c r="AV146" s="70"/>
      <c r="AW146" s="57"/>
      <c r="AX146" s="57"/>
      <c r="AY146" s="57"/>
      <c r="AZ146" s="58"/>
      <c r="BA146" s="70"/>
      <c r="BB146" s="57"/>
      <c r="BC146" s="57"/>
      <c r="BD146" s="57"/>
      <c r="BE146" s="58"/>
      <c r="BF146" s="70"/>
      <c r="BG146" s="57"/>
      <c r="BH146" s="57"/>
      <c r="BI146" s="57"/>
      <c r="BJ146" s="58"/>
      <c r="BK146" s="70"/>
      <c r="BL146" s="57"/>
      <c r="BM146" s="57"/>
      <c r="BN146" s="57"/>
      <c r="BO146" s="58"/>
      <c r="BP146" s="70"/>
      <c r="BQ146" s="57"/>
      <c r="BR146" s="57"/>
      <c r="BS146" s="57"/>
      <c r="BT146" s="58"/>
      <c r="BU146" s="70"/>
      <c r="BV146" s="57"/>
      <c r="BW146" s="57"/>
      <c r="BX146" s="57"/>
      <c r="BY146" s="58"/>
      <c r="BZ146" s="484"/>
      <c r="CA146" s="70"/>
      <c r="CB146" s="57"/>
      <c r="CC146" s="57"/>
      <c r="CD146" s="57"/>
      <c r="CE146" s="57"/>
      <c r="CF146" s="58"/>
      <c r="CG146" s="70"/>
      <c r="CH146" s="57"/>
      <c r="CI146" s="57"/>
      <c r="CJ146" s="57"/>
      <c r="CK146" s="57"/>
      <c r="CL146" s="58"/>
      <c r="CM146" s="70"/>
      <c r="CN146" s="57"/>
      <c r="CO146" s="57"/>
      <c r="CP146" s="57"/>
      <c r="CQ146" s="57"/>
      <c r="CR146" s="58"/>
      <c r="CS146" s="70"/>
      <c r="CT146" s="57"/>
      <c r="CU146" s="57"/>
      <c r="CV146" s="57"/>
      <c r="CW146" s="57"/>
      <c r="CX146" s="58"/>
      <c r="CY146" s="70"/>
      <c r="CZ146" s="57"/>
      <c r="DA146" s="57"/>
      <c r="DB146" s="57"/>
      <c r="DC146" s="57"/>
      <c r="DD146" s="58"/>
      <c r="DE146" s="70"/>
      <c r="DF146" s="57"/>
      <c r="DG146" s="57"/>
      <c r="DH146" s="57"/>
      <c r="DI146" s="57"/>
      <c r="DJ146" s="58"/>
      <c r="DK146" s="53"/>
      <c r="DL146" s="43"/>
      <c r="DM146" s="43"/>
      <c r="DN146" s="43"/>
      <c r="DO146" s="43"/>
      <c r="DP146" s="43"/>
      <c r="DQ146" s="43"/>
      <c r="DR146" s="43"/>
      <c r="DS146" s="43"/>
      <c r="DT146" s="43"/>
      <c r="DU146" s="43"/>
      <c r="DV146" s="43"/>
      <c r="DW146" s="43"/>
      <c r="DX146" s="43"/>
      <c r="DY146" s="43"/>
      <c r="DZ146" s="43"/>
      <c r="EA146" s="43"/>
      <c r="EB146" s="43"/>
      <c r="EC146" s="43"/>
      <c r="ED146" s="43"/>
      <c r="EE146" s="43"/>
      <c r="EF146" s="43"/>
      <c r="EG146" s="43"/>
      <c r="EH146" s="43"/>
      <c r="EI146" s="43"/>
      <c r="EJ146" s="43"/>
      <c r="EK146" s="43"/>
      <c r="EL146" s="43"/>
      <c r="EM146" s="43"/>
      <c r="EN146" s="43"/>
      <c r="EO146" s="43"/>
      <c r="EP146" s="43"/>
      <c r="EQ146" s="43"/>
      <c r="ER146" s="43"/>
      <c r="ES146" s="43"/>
      <c r="ET146" s="43"/>
      <c r="EU146" s="43"/>
      <c r="EV146" s="43"/>
      <c r="EW146" s="43"/>
      <c r="EX146" s="43"/>
      <c r="EY146" s="43"/>
      <c r="EZ146" s="43"/>
      <c r="FA146" s="43"/>
      <c r="FB146" s="43"/>
      <c r="FC146" s="43"/>
      <c r="FD146" s="43"/>
      <c r="FE146" s="43"/>
      <c r="FF146" s="43"/>
      <c r="FG146" s="43"/>
      <c r="FH146" s="43"/>
      <c r="FI146" s="43"/>
      <c r="FJ146" s="43"/>
      <c r="FK146" s="43"/>
      <c r="FL146" s="43"/>
      <c r="FM146" s="43"/>
      <c r="FN146" s="43"/>
      <c r="FO146" s="43"/>
      <c r="FP146" s="43"/>
      <c r="FQ146" s="43"/>
      <c r="FR146" s="43"/>
      <c r="FS146" s="43"/>
      <c r="FT146" s="43"/>
      <c r="FU146" s="43"/>
      <c r="FV146" s="43"/>
      <c r="FW146" s="43"/>
      <c r="FX146" s="43"/>
      <c r="FY146" s="43"/>
      <c r="FZ146" s="43"/>
      <c r="GA146" s="43"/>
      <c r="GB146" s="43"/>
      <c r="GC146" s="43"/>
      <c r="GD146" s="43"/>
      <c r="GE146" s="43"/>
      <c r="GF146" s="43"/>
      <c r="GG146" s="43"/>
      <c r="GH146" s="43"/>
      <c r="GI146" s="43"/>
      <c r="GJ146" s="43"/>
      <c r="GK146" s="43"/>
      <c r="GL146" s="43"/>
      <c r="GM146" s="43"/>
      <c r="GN146" s="43"/>
      <c r="GO146" s="43"/>
      <c r="GP146" s="43"/>
      <c r="GQ146" s="43"/>
      <c r="GR146" s="43"/>
      <c r="GS146" s="43"/>
      <c r="GT146" s="43"/>
      <c r="GU146" s="43"/>
      <c r="GV146" s="43"/>
      <c r="GW146" s="43"/>
    </row>
    <row r="147" ht="15.0" customHeight="1">
      <c r="A147" s="318"/>
      <c r="B147" s="73"/>
      <c r="C147" s="49"/>
      <c r="D147" s="49"/>
      <c r="E147" s="49"/>
      <c r="F147" s="49"/>
      <c r="G147" s="49"/>
      <c r="H147" s="49"/>
      <c r="I147" s="49"/>
      <c r="J147" s="49"/>
      <c r="K147" s="50"/>
      <c r="L147" s="73"/>
      <c r="M147" s="49"/>
      <c r="N147" s="49"/>
      <c r="O147" s="49"/>
      <c r="P147" s="49"/>
      <c r="Q147" s="49"/>
      <c r="R147" s="49"/>
      <c r="S147" s="49"/>
      <c r="T147" s="49"/>
      <c r="U147" s="50"/>
      <c r="V147" s="73"/>
      <c r="W147" s="49"/>
      <c r="X147" s="49"/>
      <c r="Y147" s="49"/>
      <c r="Z147" s="49"/>
      <c r="AA147" s="49"/>
      <c r="AB147" s="49"/>
      <c r="AC147" s="49"/>
      <c r="AD147" s="49"/>
      <c r="AE147" s="50"/>
      <c r="AF147" s="53"/>
      <c r="AG147" s="481" t="s">
        <v>778</v>
      </c>
      <c r="AH147" s="49"/>
      <c r="AI147" s="49"/>
      <c r="AJ147" s="49"/>
      <c r="AK147" s="50"/>
      <c r="AL147" s="307"/>
      <c r="AM147" s="49"/>
      <c r="AN147" s="49"/>
      <c r="AO147" s="49"/>
      <c r="AP147" s="50"/>
      <c r="AQ147" s="481" t="s">
        <v>779</v>
      </c>
      <c r="AR147" s="49"/>
      <c r="AS147" s="49"/>
      <c r="AT147" s="49"/>
      <c r="AU147" s="50"/>
      <c r="AV147" s="481" t="str">
        <f t="array" ref="AV147">"輕度負荷:"&amp;ROUNDDOWN((13+(V18-1)*3)*(X18+1)*INDEX({3,5,0.25,2,4,0.3333333333333333,0.5,1},MATCH(BM32,{"超大型","超巨型","超微型","大型","巨型","微型","小型","中型"},0)),0)&amp;"公斤以下"&amp;
"　/　中度負荷:"&amp;ROUNDDOWN(((13+(V18-1)*3)+1)*2*(X18+1)*INDEX({3,5,0.25,2,4,0.3333333333333333,0.5,1},MATCH(BM32,{"超大型","超巨型","超微型","大型","巨型","微型","小型","中型"},0)),0)&amp;"公斤以下"&amp;
"　/　重度負荷:"&amp;ROUNDDOWN(((((13+(V18-1)*3)+1)*2+1)+(13+(V18-1)*3)+1)*(X18+1)*INDEX({3,5,0.25,2,4,0.3333333333333333,0.5,1},MATCH(BM32,{"超大型","超巨型","超微型","大型","巨型","微型","小型","中型"},0)),0)&amp;"公斤以下"</f>
        <v>輕度負荷:16公斤以下　/　中度負荷:34公斤以下　/　重度負荷:52公斤以下</v>
      </c>
      <c r="AW147" s="49"/>
      <c r="AX147" s="49"/>
      <c r="AY147" s="49"/>
      <c r="AZ147" s="49"/>
      <c r="BA147" s="49"/>
      <c r="BB147" s="49"/>
      <c r="BC147" s="49"/>
      <c r="BD147" s="49"/>
      <c r="BE147" s="49"/>
      <c r="BF147" s="49"/>
      <c r="BG147" s="49"/>
      <c r="BH147" s="49"/>
      <c r="BI147" s="49"/>
      <c r="BJ147" s="49"/>
      <c r="BK147" s="49"/>
      <c r="BL147" s="49"/>
      <c r="BM147" s="49"/>
      <c r="BN147" s="49"/>
      <c r="BO147" s="49"/>
      <c r="BP147" s="49"/>
      <c r="BQ147" s="49"/>
      <c r="BR147" s="49"/>
      <c r="BS147" s="49"/>
      <c r="BT147" s="49"/>
      <c r="BU147" s="49"/>
      <c r="BV147" s="49"/>
      <c r="BW147" s="49"/>
      <c r="BX147" s="49"/>
      <c r="BY147" s="50"/>
      <c r="BZ147" s="53"/>
      <c r="CA147" s="73"/>
      <c r="CB147" s="49"/>
      <c r="CC147" s="49"/>
      <c r="CD147" s="49"/>
      <c r="CE147" s="49"/>
      <c r="CF147" s="50"/>
      <c r="CG147" s="73"/>
      <c r="CH147" s="49"/>
      <c r="CI147" s="49"/>
      <c r="CJ147" s="49"/>
      <c r="CK147" s="49"/>
      <c r="CL147" s="50"/>
      <c r="CM147" s="73"/>
      <c r="CN147" s="49"/>
      <c r="CO147" s="49"/>
      <c r="CP147" s="49"/>
      <c r="CQ147" s="49"/>
      <c r="CR147" s="50"/>
      <c r="CS147" s="73"/>
      <c r="CT147" s="49"/>
      <c r="CU147" s="49"/>
      <c r="CV147" s="49"/>
      <c r="CW147" s="49"/>
      <c r="CX147" s="50"/>
      <c r="CY147" s="73"/>
      <c r="CZ147" s="49"/>
      <c r="DA147" s="49"/>
      <c r="DB147" s="49"/>
      <c r="DC147" s="49"/>
      <c r="DD147" s="50"/>
      <c r="DE147" s="73"/>
      <c r="DF147" s="49"/>
      <c r="DG147" s="49"/>
      <c r="DH147" s="49"/>
      <c r="DI147" s="49"/>
      <c r="DJ147" s="50"/>
      <c r="DK147" s="53"/>
      <c r="DL147" s="43"/>
      <c r="DM147" s="43"/>
      <c r="DN147" s="43"/>
      <c r="DO147" s="43"/>
      <c r="DP147" s="43"/>
      <c r="DQ147" s="43"/>
      <c r="DR147" s="43"/>
      <c r="DS147" s="43"/>
      <c r="DT147" s="43"/>
      <c r="DU147" s="43"/>
      <c r="DV147" s="43"/>
      <c r="DW147" s="43"/>
      <c r="DX147" s="43"/>
      <c r="DY147" s="43"/>
      <c r="DZ147" s="43"/>
      <c r="EA147" s="43"/>
      <c r="EB147" s="43"/>
      <c r="EC147" s="43"/>
      <c r="ED147" s="43"/>
      <c r="EE147" s="43"/>
      <c r="EF147" s="43"/>
      <c r="EG147" s="43"/>
      <c r="EH147" s="43"/>
      <c r="EI147" s="43"/>
      <c r="EJ147" s="43"/>
      <c r="EK147" s="43"/>
      <c r="EL147" s="43"/>
      <c r="EM147" s="43"/>
      <c r="EN147" s="43"/>
      <c r="EO147" s="43"/>
      <c r="EP147" s="43"/>
      <c r="EQ147" s="43"/>
      <c r="ER147" s="43"/>
      <c r="ES147" s="43"/>
      <c r="ET147" s="43"/>
      <c r="EU147" s="43"/>
      <c r="EV147" s="43"/>
      <c r="EW147" s="43"/>
      <c r="EX147" s="43"/>
      <c r="EY147" s="43"/>
      <c r="EZ147" s="43"/>
      <c r="FA147" s="43"/>
      <c r="FB147" s="43"/>
      <c r="FC147" s="43"/>
      <c r="FD147" s="43"/>
      <c r="FE147" s="43"/>
      <c r="FF147" s="43"/>
      <c r="FG147" s="43"/>
      <c r="FH147" s="43"/>
      <c r="FI147" s="43"/>
      <c r="FJ147" s="43"/>
      <c r="FK147" s="43"/>
      <c r="FL147" s="43"/>
      <c r="FM147" s="43"/>
      <c r="FN147" s="43"/>
      <c r="FO147" s="43"/>
      <c r="FP147" s="43"/>
      <c r="FQ147" s="43"/>
      <c r="FR147" s="43"/>
      <c r="FS147" s="43"/>
      <c r="FT147" s="43"/>
      <c r="FU147" s="43"/>
      <c r="FV147" s="43"/>
      <c r="FW147" s="43"/>
      <c r="FX147" s="43"/>
      <c r="FY147" s="43"/>
      <c r="FZ147" s="43"/>
      <c r="GA147" s="43"/>
      <c r="GB147" s="43"/>
      <c r="GC147" s="43"/>
      <c r="GD147" s="43"/>
      <c r="GE147" s="43"/>
      <c r="GF147" s="43"/>
      <c r="GG147" s="43"/>
      <c r="GH147" s="43"/>
      <c r="GI147" s="43"/>
      <c r="GJ147" s="43"/>
      <c r="GK147" s="43"/>
      <c r="GL147" s="43"/>
      <c r="GM147" s="43"/>
      <c r="GN147" s="43"/>
      <c r="GO147" s="43"/>
      <c r="GP147" s="43"/>
      <c r="GQ147" s="43"/>
      <c r="GR147" s="43"/>
      <c r="GS147" s="43"/>
      <c r="GT147" s="43"/>
      <c r="GU147" s="43"/>
      <c r="GV147" s="43"/>
      <c r="GW147" s="43"/>
    </row>
    <row r="148" ht="15.0" customHeight="1">
      <c r="A148" s="318"/>
      <c r="B148" s="70"/>
      <c r="C148" s="57"/>
      <c r="D148" s="57"/>
      <c r="E148" s="57"/>
      <c r="F148" s="57"/>
      <c r="G148" s="57"/>
      <c r="H148" s="57"/>
      <c r="I148" s="57"/>
      <c r="J148" s="57"/>
      <c r="K148" s="58"/>
      <c r="L148" s="70"/>
      <c r="M148" s="57"/>
      <c r="N148" s="57"/>
      <c r="O148" s="57"/>
      <c r="P148" s="57"/>
      <c r="Q148" s="57"/>
      <c r="R148" s="57"/>
      <c r="S148" s="57"/>
      <c r="T148" s="57"/>
      <c r="U148" s="58"/>
      <c r="V148" s="70"/>
      <c r="W148" s="57"/>
      <c r="X148" s="57"/>
      <c r="Y148" s="57"/>
      <c r="Z148" s="57"/>
      <c r="AA148" s="57"/>
      <c r="AB148" s="57"/>
      <c r="AC148" s="57"/>
      <c r="AD148" s="57"/>
      <c r="AE148" s="58"/>
      <c r="AF148" s="53"/>
      <c r="AG148" s="70"/>
      <c r="AH148" s="57"/>
      <c r="AI148" s="57"/>
      <c r="AJ148" s="57"/>
      <c r="AK148" s="58"/>
      <c r="AL148" s="70"/>
      <c r="AM148" s="57"/>
      <c r="AN148" s="57"/>
      <c r="AO148" s="57"/>
      <c r="AP148" s="58"/>
      <c r="AQ148" s="70"/>
      <c r="AR148" s="57"/>
      <c r="AS148" s="57"/>
      <c r="AT148" s="57"/>
      <c r="AU148" s="58"/>
      <c r="AV148" s="70"/>
      <c r="AW148" s="57"/>
      <c r="AX148" s="57"/>
      <c r="AY148" s="57"/>
      <c r="AZ148" s="57"/>
      <c r="BA148" s="57"/>
      <c r="BB148" s="57"/>
      <c r="BC148" s="57"/>
      <c r="BD148" s="57"/>
      <c r="BE148" s="57"/>
      <c r="BF148" s="57"/>
      <c r="BG148" s="57"/>
      <c r="BH148" s="57"/>
      <c r="BI148" s="57"/>
      <c r="BJ148" s="57"/>
      <c r="BK148" s="57"/>
      <c r="BL148" s="57"/>
      <c r="BM148" s="57"/>
      <c r="BN148" s="57"/>
      <c r="BO148" s="57"/>
      <c r="BP148" s="57"/>
      <c r="BQ148" s="57"/>
      <c r="BR148" s="57"/>
      <c r="BS148" s="57"/>
      <c r="BT148" s="57"/>
      <c r="BU148" s="57"/>
      <c r="BV148" s="57"/>
      <c r="BW148" s="57"/>
      <c r="BX148" s="57"/>
      <c r="BY148" s="58"/>
      <c r="BZ148" s="53"/>
      <c r="CA148" s="70"/>
      <c r="CB148" s="57"/>
      <c r="CC148" s="57"/>
      <c r="CD148" s="57"/>
      <c r="CE148" s="57"/>
      <c r="CF148" s="58"/>
      <c r="CG148" s="70"/>
      <c r="CH148" s="57"/>
      <c r="CI148" s="57"/>
      <c r="CJ148" s="57"/>
      <c r="CK148" s="57"/>
      <c r="CL148" s="58"/>
      <c r="CM148" s="70"/>
      <c r="CN148" s="57"/>
      <c r="CO148" s="57"/>
      <c r="CP148" s="57"/>
      <c r="CQ148" s="57"/>
      <c r="CR148" s="58"/>
      <c r="CS148" s="70"/>
      <c r="CT148" s="57"/>
      <c r="CU148" s="57"/>
      <c r="CV148" s="57"/>
      <c r="CW148" s="57"/>
      <c r="CX148" s="58"/>
      <c r="CY148" s="70"/>
      <c r="CZ148" s="57"/>
      <c r="DA148" s="57"/>
      <c r="DB148" s="57"/>
      <c r="DC148" s="57"/>
      <c r="DD148" s="58"/>
      <c r="DE148" s="70"/>
      <c r="DF148" s="57"/>
      <c r="DG148" s="57"/>
      <c r="DH148" s="57"/>
      <c r="DI148" s="57"/>
      <c r="DJ148" s="58"/>
      <c r="DK148" s="53"/>
      <c r="DL148" s="43"/>
      <c r="DM148" s="43"/>
      <c r="DN148" s="43"/>
      <c r="DO148" s="43"/>
      <c r="DP148" s="43"/>
      <c r="DQ148" s="43"/>
      <c r="DR148" s="43"/>
      <c r="DS148" s="43"/>
      <c r="DT148" s="43"/>
      <c r="DU148" s="43"/>
      <c r="DV148" s="43"/>
      <c r="DW148" s="43"/>
      <c r="DX148" s="43"/>
      <c r="DY148" s="43"/>
      <c r="DZ148" s="43"/>
      <c r="EA148" s="43"/>
      <c r="EB148" s="43"/>
      <c r="EC148" s="43"/>
      <c r="ED148" s="43"/>
      <c r="EE148" s="43"/>
      <c r="EF148" s="43"/>
      <c r="EG148" s="43"/>
      <c r="EH148" s="43"/>
      <c r="EI148" s="43"/>
      <c r="EJ148" s="43"/>
      <c r="EK148" s="43"/>
      <c r="EL148" s="43"/>
      <c r="EM148" s="43"/>
      <c r="EN148" s="43"/>
      <c r="EO148" s="43"/>
      <c r="EP148" s="43"/>
      <c r="EQ148" s="43"/>
      <c r="ER148" s="43"/>
      <c r="ES148" s="43"/>
      <c r="ET148" s="43"/>
      <c r="EU148" s="43"/>
      <c r="EV148" s="43"/>
      <c r="EW148" s="43"/>
      <c r="EX148" s="43"/>
      <c r="EY148" s="43"/>
      <c r="EZ148" s="43"/>
      <c r="FA148" s="43"/>
      <c r="FB148" s="43"/>
      <c r="FC148" s="43"/>
      <c r="FD148" s="43"/>
      <c r="FE148" s="43"/>
      <c r="FF148" s="43"/>
      <c r="FG148" s="43"/>
      <c r="FH148" s="43"/>
      <c r="FI148" s="43"/>
      <c r="FJ148" s="43"/>
      <c r="FK148" s="43"/>
      <c r="FL148" s="43"/>
      <c r="FM148" s="43"/>
      <c r="FN148" s="43"/>
      <c r="FO148" s="43"/>
      <c r="FP148" s="43"/>
      <c r="FQ148" s="43"/>
      <c r="FR148" s="43"/>
      <c r="FS148" s="43"/>
      <c r="FT148" s="43"/>
      <c r="FU148" s="43"/>
      <c r="FV148" s="43"/>
      <c r="FW148" s="43"/>
      <c r="FX148" s="43"/>
      <c r="FY148" s="43"/>
      <c r="FZ148" s="43"/>
      <c r="GA148" s="43"/>
      <c r="GB148" s="43"/>
      <c r="GC148" s="43"/>
      <c r="GD148" s="43"/>
      <c r="GE148" s="43"/>
      <c r="GF148" s="43"/>
      <c r="GG148" s="43"/>
      <c r="GH148" s="43"/>
      <c r="GI148" s="43"/>
      <c r="GJ148" s="43"/>
      <c r="GK148" s="43"/>
      <c r="GL148" s="43"/>
      <c r="GM148" s="43"/>
      <c r="GN148" s="43"/>
      <c r="GO148" s="43"/>
      <c r="GP148" s="43"/>
      <c r="GQ148" s="43"/>
      <c r="GR148" s="43"/>
      <c r="GS148" s="43"/>
      <c r="GT148" s="43"/>
      <c r="GU148" s="43"/>
      <c r="GV148" s="43"/>
      <c r="GW148" s="43"/>
    </row>
    <row r="149" ht="15.0" customHeight="1">
      <c r="A149" s="460"/>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109"/>
      <c r="DL149" s="43"/>
      <c r="DM149" s="43"/>
      <c r="DN149" s="43"/>
      <c r="DO149" s="43"/>
      <c r="DP149" s="43"/>
      <c r="DQ149" s="43"/>
      <c r="DR149" s="43"/>
      <c r="DS149" s="43"/>
      <c r="DT149" s="43"/>
      <c r="DU149" s="43"/>
      <c r="DV149" s="43"/>
      <c r="DW149" s="43"/>
      <c r="DX149" s="43"/>
      <c r="DY149" s="43"/>
      <c r="DZ149" s="43"/>
      <c r="EA149" s="43"/>
      <c r="EB149" s="43"/>
      <c r="EC149" s="43"/>
      <c r="ED149" s="43"/>
      <c r="EE149" s="43"/>
      <c r="EF149" s="43"/>
      <c r="EG149" s="43"/>
      <c r="EH149" s="43"/>
      <c r="EI149" s="43"/>
      <c r="EJ149" s="43"/>
      <c r="EK149" s="43"/>
      <c r="EL149" s="43"/>
      <c r="EM149" s="43"/>
      <c r="EN149" s="43"/>
      <c r="EO149" s="43"/>
      <c r="EP149" s="43"/>
      <c r="EQ149" s="43"/>
      <c r="ER149" s="43"/>
      <c r="ES149" s="43"/>
      <c r="ET149" s="43"/>
      <c r="EU149" s="43"/>
      <c r="EV149" s="43"/>
      <c r="EW149" s="43"/>
      <c r="EX149" s="43"/>
      <c r="EY149" s="43"/>
      <c r="EZ149" s="43"/>
      <c r="FA149" s="43"/>
      <c r="FB149" s="43"/>
      <c r="FC149" s="43"/>
      <c r="FD149" s="43"/>
      <c r="FE149" s="43"/>
      <c r="FF149" s="43"/>
      <c r="FG149" s="43"/>
      <c r="FH149" s="43"/>
      <c r="FI149" s="43"/>
      <c r="FJ149" s="43"/>
      <c r="FK149" s="43"/>
      <c r="FL149" s="43"/>
      <c r="FM149" s="43"/>
      <c r="FN149" s="43"/>
      <c r="FO149" s="43"/>
      <c r="FP149" s="43"/>
      <c r="FQ149" s="43"/>
      <c r="FR149" s="43"/>
      <c r="FS149" s="43"/>
      <c r="FT149" s="43"/>
      <c r="FU149" s="43"/>
      <c r="FV149" s="43"/>
      <c r="FW149" s="43"/>
      <c r="FX149" s="43"/>
      <c r="FY149" s="43"/>
      <c r="FZ149" s="43"/>
      <c r="GA149" s="43"/>
      <c r="GB149" s="43"/>
      <c r="GC149" s="43"/>
      <c r="GD149" s="43"/>
      <c r="GE149" s="43"/>
      <c r="GF149" s="43"/>
      <c r="GG149" s="43"/>
      <c r="GH149" s="43"/>
      <c r="GI149" s="43"/>
      <c r="GJ149" s="43"/>
      <c r="GK149" s="43"/>
      <c r="GL149" s="43"/>
      <c r="GM149" s="43"/>
      <c r="GN149" s="43"/>
      <c r="GO149" s="43"/>
      <c r="GP149" s="43"/>
      <c r="GQ149" s="43"/>
      <c r="GR149" s="43"/>
      <c r="GS149" s="43"/>
      <c r="GT149" s="43"/>
      <c r="GU149" s="43"/>
      <c r="GV149" s="43"/>
      <c r="GW149" s="43"/>
    </row>
    <row r="150" ht="15.0" customHeight="1">
      <c r="A150" s="318"/>
      <c r="B150" s="492" t="s">
        <v>783</v>
      </c>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c r="AK150" s="49"/>
      <c r="AL150" s="49"/>
      <c r="AM150" s="49"/>
      <c r="AN150" s="49"/>
      <c r="AO150" s="49"/>
      <c r="AP150" s="49"/>
      <c r="AQ150" s="49"/>
      <c r="AR150" s="49"/>
      <c r="AS150" s="49"/>
      <c r="AT150" s="49"/>
      <c r="AU150" s="49"/>
      <c r="AV150" s="49"/>
      <c r="AW150" s="49"/>
      <c r="AX150" s="49"/>
      <c r="AY150" s="49"/>
      <c r="AZ150" s="49"/>
      <c r="BA150" s="49"/>
      <c r="BB150" s="49"/>
      <c r="BC150" s="49"/>
      <c r="BD150" s="49"/>
      <c r="BE150" s="49"/>
      <c r="BF150" s="49"/>
      <c r="BG150" s="49"/>
      <c r="BH150" s="49"/>
      <c r="BI150" s="49"/>
      <c r="BJ150" s="49"/>
      <c r="BK150" s="49"/>
      <c r="BL150" s="49"/>
      <c r="BM150" s="49"/>
      <c r="BN150" s="49"/>
      <c r="BO150" s="49"/>
      <c r="BP150" s="49"/>
      <c r="BQ150" s="49"/>
      <c r="BR150" s="49"/>
      <c r="BS150" s="49"/>
      <c r="BT150" s="49"/>
      <c r="BU150" s="49"/>
      <c r="BV150" s="49"/>
      <c r="BW150" s="49"/>
      <c r="BX150" s="49"/>
      <c r="BY150" s="49"/>
      <c r="BZ150" s="49"/>
      <c r="CA150" s="49"/>
      <c r="CB150" s="49"/>
      <c r="CC150" s="49"/>
      <c r="CD150" s="50"/>
      <c r="CE150" s="493"/>
      <c r="CF150" s="46"/>
      <c r="CG150" s="46"/>
      <c r="CH150" s="46"/>
      <c r="CI150" s="46"/>
      <c r="CJ150" s="46"/>
      <c r="CK150" s="46"/>
      <c r="CL150" s="46"/>
      <c r="CM150" s="46"/>
      <c r="CN150" s="46"/>
      <c r="CO150" s="46"/>
      <c r="CP150" s="46"/>
      <c r="CQ150" s="46"/>
      <c r="CR150" s="46"/>
      <c r="CS150" s="46"/>
      <c r="CT150" s="46"/>
      <c r="CU150" s="46"/>
      <c r="CV150" s="46"/>
      <c r="CW150" s="46"/>
      <c r="CX150" s="46"/>
      <c r="CY150" s="46"/>
      <c r="CZ150" s="46"/>
      <c r="DA150" s="46"/>
      <c r="DB150" s="46"/>
      <c r="DC150" s="46"/>
      <c r="DD150" s="46"/>
      <c r="DE150" s="46"/>
      <c r="DF150" s="46"/>
      <c r="DG150" s="46"/>
      <c r="DH150" s="46"/>
      <c r="DI150" s="46"/>
      <c r="DJ150" s="47"/>
      <c r="DK150" s="53"/>
      <c r="DL150" s="43"/>
      <c r="DM150" s="43"/>
      <c r="DN150" s="43"/>
      <c r="DO150" s="43"/>
      <c r="DP150" s="43"/>
      <c r="DQ150" s="43"/>
      <c r="DR150" s="43"/>
      <c r="DS150" s="43"/>
      <c r="DT150" s="43"/>
      <c r="DU150" s="43"/>
      <c r="DV150" s="43"/>
      <c r="DW150" s="43"/>
      <c r="DX150" s="43"/>
      <c r="DY150" s="43"/>
      <c r="DZ150" s="43"/>
      <c r="EA150" s="43"/>
      <c r="EB150" s="43"/>
      <c r="EC150" s="43"/>
      <c r="ED150" s="43"/>
      <c r="EE150" s="43"/>
      <c r="EF150" s="43"/>
      <c r="EG150" s="43"/>
      <c r="EH150" s="43"/>
      <c r="EI150" s="43"/>
      <c r="EJ150" s="43"/>
      <c r="EK150" s="43"/>
      <c r="EL150" s="43"/>
      <c r="EM150" s="43"/>
      <c r="EN150" s="43"/>
      <c r="EO150" s="43"/>
      <c r="EP150" s="43"/>
      <c r="EQ150" s="43"/>
      <c r="ER150" s="43"/>
      <c r="ES150" s="43"/>
      <c r="ET150" s="43"/>
      <c r="EU150" s="43"/>
      <c r="EV150" s="43"/>
      <c r="EW150" s="43"/>
      <c r="EX150" s="43"/>
      <c r="EY150" s="43"/>
      <c r="EZ150" s="43"/>
      <c r="FA150" s="43"/>
      <c r="FB150" s="43"/>
      <c r="FC150" s="43"/>
      <c r="FD150" s="43"/>
      <c r="FE150" s="43"/>
      <c r="FF150" s="43"/>
      <c r="FG150" s="43"/>
      <c r="FH150" s="43"/>
      <c r="FI150" s="43"/>
      <c r="FJ150" s="43"/>
      <c r="FK150" s="43"/>
      <c r="FL150" s="43"/>
      <c r="FM150" s="43"/>
      <c r="FN150" s="43"/>
      <c r="FO150" s="43"/>
      <c r="FP150" s="43"/>
      <c r="FQ150" s="43"/>
      <c r="FR150" s="43"/>
      <c r="FS150" s="43"/>
      <c r="FT150" s="43"/>
      <c r="FU150" s="43"/>
      <c r="FV150" s="43"/>
      <c r="FW150" s="43"/>
      <c r="FX150" s="43"/>
      <c r="FY150" s="43"/>
      <c r="FZ150" s="43"/>
      <c r="GA150" s="43"/>
      <c r="GB150" s="43"/>
      <c r="GC150" s="43"/>
      <c r="GD150" s="43"/>
      <c r="GE150" s="43"/>
      <c r="GF150" s="43"/>
      <c r="GG150" s="43"/>
      <c r="GH150" s="43"/>
      <c r="GI150" s="43"/>
      <c r="GJ150" s="43"/>
      <c r="GK150" s="43"/>
      <c r="GL150" s="43"/>
      <c r="GM150" s="43"/>
      <c r="GN150" s="43"/>
      <c r="GO150" s="43"/>
      <c r="GP150" s="43"/>
      <c r="GQ150" s="43"/>
      <c r="GR150" s="43"/>
      <c r="GS150" s="43"/>
      <c r="GT150" s="43"/>
      <c r="GU150" s="43"/>
      <c r="GV150" s="43"/>
      <c r="GW150" s="43"/>
    </row>
    <row r="151" ht="15.0" customHeight="1">
      <c r="A151" s="318"/>
      <c r="B151" s="494" t="s">
        <v>785</v>
      </c>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c r="AK151" s="49"/>
      <c r="AL151" s="49"/>
      <c r="AM151" s="49"/>
      <c r="AN151" s="49"/>
      <c r="AO151" s="49"/>
      <c r="AP151" s="49"/>
      <c r="AQ151" s="49"/>
      <c r="AR151" s="49"/>
      <c r="AS151" s="49"/>
      <c r="AT151" s="49"/>
      <c r="AU151" s="49"/>
      <c r="AV151" s="49"/>
      <c r="AW151" s="49"/>
      <c r="AX151" s="49"/>
      <c r="AY151" s="49"/>
      <c r="AZ151" s="49"/>
      <c r="BA151" s="49"/>
      <c r="BB151" s="49"/>
      <c r="BC151" s="49"/>
      <c r="BD151" s="49"/>
      <c r="BE151" s="49"/>
      <c r="BF151" s="49"/>
      <c r="BG151" s="49"/>
      <c r="BH151" s="49"/>
      <c r="BI151" s="49"/>
      <c r="BJ151" s="49"/>
      <c r="BK151" s="49"/>
      <c r="BL151" s="49"/>
      <c r="BM151" s="49"/>
      <c r="BN151" s="49"/>
      <c r="BO151" s="49"/>
      <c r="BP151" s="49"/>
      <c r="BQ151" s="49"/>
      <c r="BR151" s="49"/>
      <c r="BS151" s="49"/>
      <c r="BT151" s="49"/>
      <c r="BU151" s="50"/>
      <c r="BV151" s="494" t="s">
        <v>786</v>
      </c>
      <c r="BW151" s="49"/>
      <c r="BX151" s="49"/>
      <c r="BY151" s="49"/>
      <c r="BZ151" s="49"/>
      <c r="CA151" s="49"/>
      <c r="CB151" s="49"/>
      <c r="CC151" s="49"/>
      <c r="CD151" s="50"/>
      <c r="CE151" s="494" t="s">
        <v>787</v>
      </c>
      <c r="CF151" s="49"/>
      <c r="CG151" s="49"/>
      <c r="CH151" s="49"/>
      <c r="CI151" s="49"/>
      <c r="CJ151" s="49"/>
      <c r="CK151" s="49"/>
      <c r="CL151" s="49"/>
      <c r="CM151" s="49"/>
      <c r="CN151" s="49"/>
      <c r="CO151" s="49"/>
      <c r="CP151" s="49"/>
      <c r="CQ151" s="49"/>
      <c r="CR151" s="49"/>
      <c r="CS151" s="49"/>
      <c r="CT151" s="49"/>
      <c r="CU151" s="49"/>
      <c r="CV151" s="49"/>
      <c r="CW151" s="49"/>
      <c r="CX151" s="49"/>
      <c r="CY151" s="50"/>
      <c r="CZ151" s="494" t="s">
        <v>788</v>
      </c>
      <c r="DA151" s="49"/>
      <c r="DB151" s="49"/>
      <c r="DC151" s="49"/>
      <c r="DD151" s="49"/>
      <c r="DE151" s="49"/>
      <c r="DF151" s="49"/>
      <c r="DG151" s="49"/>
      <c r="DH151" s="49"/>
      <c r="DI151" s="49"/>
      <c r="DJ151" s="50"/>
      <c r="DK151" s="53"/>
      <c r="DL151" s="43"/>
      <c r="DM151" s="43"/>
      <c r="DN151" s="43"/>
      <c r="DO151" s="43"/>
      <c r="DP151" s="43"/>
      <c r="DQ151" s="43"/>
      <c r="DR151" s="43"/>
      <c r="DS151" s="43"/>
      <c r="DT151" s="43"/>
      <c r="DU151" s="43"/>
      <c r="DV151" s="43"/>
      <c r="DW151" s="43"/>
      <c r="DX151" s="43"/>
      <c r="DY151" s="43"/>
      <c r="DZ151" s="43"/>
      <c r="EA151" s="43"/>
      <c r="EB151" s="43"/>
      <c r="EC151" s="43"/>
      <c r="ED151" s="43"/>
      <c r="EE151" s="43"/>
      <c r="EF151" s="43"/>
      <c r="EG151" s="43"/>
      <c r="EH151" s="43"/>
      <c r="EI151" s="43"/>
      <c r="EJ151" s="43"/>
      <c r="EK151" s="43"/>
      <c r="EL151" s="43"/>
      <c r="EM151" s="43"/>
      <c r="EN151" s="43"/>
      <c r="EO151" s="43"/>
      <c r="EP151" s="43"/>
      <c r="EQ151" s="43"/>
      <c r="ER151" s="43"/>
      <c r="ES151" s="43"/>
      <c r="ET151" s="43"/>
      <c r="EU151" s="43"/>
      <c r="EV151" s="43"/>
      <c r="EW151" s="43"/>
      <c r="EX151" s="43"/>
      <c r="EY151" s="43"/>
      <c r="EZ151" s="43"/>
      <c r="FA151" s="43"/>
      <c r="FB151" s="43"/>
      <c r="FC151" s="43"/>
      <c r="FD151" s="43"/>
      <c r="FE151" s="43"/>
      <c r="FF151" s="43"/>
      <c r="FG151" s="43"/>
      <c r="FH151" s="43"/>
      <c r="FI151" s="43"/>
      <c r="FJ151" s="43"/>
      <c r="FK151" s="43"/>
      <c r="FL151" s="43"/>
      <c r="FM151" s="43"/>
      <c r="FN151" s="43"/>
      <c r="FO151" s="43"/>
      <c r="FP151" s="43"/>
      <c r="FQ151" s="43"/>
      <c r="FR151" s="43"/>
      <c r="FS151" s="43"/>
      <c r="FT151" s="43"/>
      <c r="FU151" s="43"/>
      <c r="FV151" s="43"/>
      <c r="FW151" s="43"/>
      <c r="FX151" s="43"/>
      <c r="FY151" s="43"/>
      <c r="FZ151" s="43"/>
      <c r="GA151" s="43"/>
      <c r="GB151" s="43"/>
      <c r="GC151" s="43"/>
      <c r="GD151" s="43"/>
      <c r="GE151" s="43"/>
      <c r="GF151" s="43"/>
      <c r="GG151" s="43"/>
      <c r="GH151" s="43"/>
      <c r="GI151" s="43"/>
      <c r="GJ151" s="43"/>
      <c r="GK151" s="43"/>
      <c r="GL151" s="43"/>
      <c r="GM151" s="43"/>
      <c r="GN151" s="43"/>
      <c r="GO151" s="43"/>
      <c r="GP151" s="43"/>
      <c r="GQ151" s="43"/>
      <c r="GR151" s="43"/>
      <c r="GS151" s="43"/>
      <c r="GT151" s="43"/>
      <c r="GU151" s="43"/>
      <c r="GV151" s="43"/>
      <c r="GW151" s="43"/>
    </row>
    <row r="152" ht="15.0" customHeight="1">
      <c r="A152" s="318"/>
      <c r="B152" s="70"/>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c r="AI152" s="57"/>
      <c r="AJ152" s="57"/>
      <c r="AK152" s="57"/>
      <c r="AL152" s="57"/>
      <c r="AM152" s="57"/>
      <c r="AN152" s="57"/>
      <c r="AO152" s="57"/>
      <c r="AP152" s="57"/>
      <c r="AQ152" s="57"/>
      <c r="AR152" s="57"/>
      <c r="AS152" s="57"/>
      <c r="AT152" s="57"/>
      <c r="AU152" s="57"/>
      <c r="AV152" s="57"/>
      <c r="AW152" s="57"/>
      <c r="AX152" s="57"/>
      <c r="AY152" s="57"/>
      <c r="AZ152" s="57"/>
      <c r="BA152" s="57"/>
      <c r="BB152" s="57"/>
      <c r="BC152" s="57"/>
      <c r="BD152" s="57"/>
      <c r="BE152" s="57"/>
      <c r="BF152" s="57"/>
      <c r="BG152" s="57"/>
      <c r="BH152" s="57"/>
      <c r="BI152" s="57"/>
      <c r="BJ152" s="57"/>
      <c r="BK152" s="57"/>
      <c r="BL152" s="57"/>
      <c r="BM152" s="57"/>
      <c r="BN152" s="57"/>
      <c r="BO152" s="57"/>
      <c r="BP152" s="57"/>
      <c r="BQ152" s="57"/>
      <c r="BR152" s="57"/>
      <c r="BS152" s="57"/>
      <c r="BT152" s="57"/>
      <c r="BU152" s="58"/>
      <c r="BV152" s="70"/>
      <c r="BW152" s="57"/>
      <c r="BX152" s="57"/>
      <c r="BY152" s="57"/>
      <c r="BZ152" s="57"/>
      <c r="CA152" s="57"/>
      <c r="CB152" s="57"/>
      <c r="CC152" s="57"/>
      <c r="CD152" s="58"/>
      <c r="CE152" s="70"/>
      <c r="CF152" s="57"/>
      <c r="CG152" s="57"/>
      <c r="CH152" s="57"/>
      <c r="CI152" s="57"/>
      <c r="CJ152" s="57"/>
      <c r="CK152" s="57"/>
      <c r="CL152" s="57"/>
      <c r="CM152" s="57"/>
      <c r="CN152" s="57"/>
      <c r="CO152" s="57"/>
      <c r="CP152" s="57"/>
      <c r="CQ152" s="57"/>
      <c r="CR152" s="57"/>
      <c r="CS152" s="57"/>
      <c r="CT152" s="57"/>
      <c r="CU152" s="57"/>
      <c r="CV152" s="57"/>
      <c r="CW152" s="57"/>
      <c r="CX152" s="57"/>
      <c r="CY152" s="58"/>
      <c r="CZ152" s="70"/>
      <c r="DA152" s="57"/>
      <c r="DB152" s="57"/>
      <c r="DC152" s="57"/>
      <c r="DD152" s="57"/>
      <c r="DE152" s="57"/>
      <c r="DF152" s="57"/>
      <c r="DG152" s="57"/>
      <c r="DH152" s="57"/>
      <c r="DI152" s="57"/>
      <c r="DJ152" s="58"/>
      <c r="DK152" s="53"/>
      <c r="DL152" s="43"/>
      <c r="DM152" s="43"/>
      <c r="DN152" s="43"/>
      <c r="DO152" s="43"/>
      <c r="DP152" s="43"/>
      <c r="DQ152" s="43"/>
      <c r="DR152" s="43"/>
      <c r="DS152" s="43"/>
      <c r="DT152" s="43"/>
      <c r="DU152" s="43"/>
      <c r="DV152" s="43"/>
      <c r="DW152" s="43"/>
      <c r="DX152" s="43"/>
      <c r="DY152" s="43"/>
      <c r="DZ152" s="43"/>
      <c r="EA152" s="43"/>
      <c r="EB152" s="43"/>
      <c r="EC152" s="43"/>
      <c r="ED152" s="43"/>
      <c r="EE152" s="43"/>
      <c r="EF152" s="43"/>
      <c r="EG152" s="43"/>
      <c r="EH152" s="43"/>
      <c r="EI152" s="43"/>
      <c r="EJ152" s="43"/>
      <c r="EK152" s="43"/>
      <c r="EL152" s="43"/>
      <c r="EM152" s="43"/>
      <c r="EN152" s="43"/>
      <c r="EO152" s="43"/>
      <c r="EP152" s="43"/>
      <c r="EQ152" s="43"/>
      <c r="ER152" s="43"/>
      <c r="ES152" s="43"/>
      <c r="ET152" s="43"/>
      <c r="EU152" s="43"/>
      <c r="EV152" s="43"/>
      <c r="EW152" s="43"/>
      <c r="EX152" s="43"/>
      <c r="EY152" s="43"/>
      <c r="EZ152" s="43"/>
      <c r="FA152" s="43"/>
      <c r="FB152" s="43"/>
      <c r="FC152" s="43"/>
      <c r="FD152" s="43"/>
      <c r="FE152" s="43"/>
      <c r="FF152" s="43"/>
      <c r="FG152" s="43"/>
      <c r="FH152" s="43"/>
      <c r="FI152" s="43"/>
      <c r="FJ152" s="43"/>
      <c r="FK152" s="43"/>
      <c r="FL152" s="43"/>
      <c r="FM152" s="43"/>
      <c r="FN152" s="43"/>
      <c r="FO152" s="43"/>
      <c r="FP152" s="43"/>
      <c r="FQ152" s="43"/>
      <c r="FR152" s="43"/>
      <c r="FS152" s="43"/>
      <c r="FT152" s="43"/>
      <c r="FU152" s="43"/>
      <c r="FV152" s="43"/>
      <c r="FW152" s="43"/>
      <c r="FX152" s="43"/>
      <c r="FY152" s="43"/>
      <c r="FZ152" s="43"/>
      <c r="GA152" s="43"/>
      <c r="GB152" s="43"/>
      <c r="GC152" s="43"/>
      <c r="GD152" s="43"/>
      <c r="GE152" s="43"/>
      <c r="GF152" s="43"/>
      <c r="GG152" s="43"/>
      <c r="GH152" s="43"/>
      <c r="GI152" s="43"/>
      <c r="GJ152" s="43"/>
      <c r="GK152" s="43"/>
      <c r="GL152" s="43"/>
      <c r="GM152" s="43"/>
      <c r="GN152" s="43"/>
      <c r="GO152" s="43"/>
      <c r="GP152" s="43"/>
      <c r="GQ152" s="43"/>
      <c r="GR152" s="43"/>
      <c r="GS152" s="43"/>
      <c r="GT152" s="43"/>
      <c r="GU152" s="43"/>
      <c r="GV152" s="43"/>
      <c r="GW152" s="43"/>
    </row>
    <row r="153" ht="15.0" customHeight="1">
      <c r="A153" s="318"/>
      <c r="B153" s="495" t="s">
        <v>789</v>
      </c>
      <c r="C153" s="49"/>
      <c r="D153" s="49"/>
      <c r="E153" s="49"/>
      <c r="F153" s="49"/>
      <c r="G153" s="49"/>
      <c r="H153" s="49"/>
      <c r="I153" s="49"/>
      <c r="J153" s="49"/>
      <c r="K153" s="49"/>
      <c r="L153" s="49"/>
      <c r="M153" s="50"/>
      <c r="N153" s="495" t="s">
        <v>790</v>
      </c>
      <c r="O153" s="49"/>
      <c r="P153" s="49"/>
      <c r="Q153" s="50"/>
      <c r="R153" s="496" t="s">
        <v>791</v>
      </c>
      <c r="S153" s="49"/>
      <c r="T153" s="49"/>
      <c r="U153" s="50"/>
      <c r="V153" s="495" t="s">
        <v>792</v>
      </c>
      <c r="W153" s="49"/>
      <c r="X153" s="49"/>
      <c r="Y153" s="50"/>
      <c r="Z153" s="495" t="s">
        <v>793</v>
      </c>
      <c r="AA153" s="49"/>
      <c r="AB153" s="49"/>
      <c r="AC153" s="50"/>
      <c r="AD153" s="496" t="s">
        <v>362</v>
      </c>
      <c r="AE153" s="49"/>
      <c r="AF153" s="49"/>
      <c r="AG153" s="49"/>
      <c r="AH153" s="49"/>
      <c r="AI153" s="49"/>
      <c r="AJ153" s="49"/>
      <c r="AK153" s="50"/>
      <c r="AL153" s="495" t="s">
        <v>789</v>
      </c>
      <c r="AM153" s="49"/>
      <c r="AN153" s="49"/>
      <c r="AO153" s="49"/>
      <c r="AP153" s="49"/>
      <c r="AQ153" s="49"/>
      <c r="AR153" s="49"/>
      <c r="AS153" s="49"/>
      <c r="AT153" s="49"/>
      <c r="AU153" s="49"/>
      <c r="AV153" s="49"/>
      <c r="AW153" s="50"/>
      <c r="AX153" s="495" t="s">
        <v>790</v>
      </c>
      <c r="AY153" s="49"/>
      <c r="AZ153" s="49"/>
      <c r="BA153" s="50"/>
      <c r="BB153" s="496" t="s">
        <v>791</v>
      </c>
      <c r="BC153" s="49"/>
      <c r="BD153" s="49"/>
      <c r="BE153" s="50"/>
      <c r="BF153" s="495" t="s">
        <v>792</v>
      </c>
      <c r="BG153" s="49"/>
      <c r="BH153" s="49"/>
      <c r="BI153" s="50"/>
      <c r="BJ153" s="495" t="s">
        <v>793</v>
      </c>
      <c r="BK153" s="49"/>
      <c r="BL153" s="49"/>
      <c r="BM153" s="50"/>
      <c r="BN153" s="496" t="s">
        <v>362</v>
      </c>
      <c r="BO153" s="49"/>
      <c r="BP153" s="49"/>
      <c r="BQ153" s="49"/>
      <c r="BR153" s="49"/>
      <c r="BS153" s="49"/>
      <c r="BT153" s="49"/>
      <c r="BU153" s="50"/>
      <c r="BV153" s="496" t="s">
        <v>791</v>
      </c>
      <c r="BW153" s="49"/>
      <c r="BX153" s="49"/>
      <c r="BY153" s="49"/>
      <c r="BZ153" s="50"/>
      <c r="CA153" s="497">
        <f>sum(R155:U191,BB155:BE191)</f>
        <v>0</v>
      </c>
      <c r="CB153" s="49"/>
      <c r="CC153" s="49"/>
      <c r="CD153" s="50"/>
      <c r="CE153" s="498" t="s">
        <v>794</v>
      </c>
      <c r="CF153" s="49"/>
      <c r="CG153" s="49"/>
      <c r="CH153" s="49"/>
      <c r="CI153" s="49"/>
      <c r="CJ153" s="49"/>
      <c r="CK153" s="49"/>
      <c r="CL153" s="49"/>
      <c r="CM153" s="49"/>
      <c r="CN153" s="50"/>
      <c r="CO153" s="43"/>
      <c r="CP153" s="499" t="s">
        <v>795</v>
      </c>
      <c r="CQ153" s="49"/>
      <c r="CR153" s="49"/>
      <c r="CS153" s="49"/>
      <c r="CT153" s="49"/>
      <c r="CU153" s="49"/>
      <c r="CV153" s="49"/>
      <c r="CW153" s="49"/>
      <c r="CX153" s="49"/>
      <c r="CY153" s="50"/>
      <c r="CZ153" s="104" t="s">
        <v>359</v>
      </c>
      <c r="DB153" s="240" t="s">
        <v>468</v>
      </c>
      <c r="DD153" s="240" t="s">
        <v>466</v>
      </c>
      <c r="DF153" s="240" t="s">
        <v>406</v>
      </c>
      <c r="DH153" s="240" t="s">
        <v>796</v>
      </c>
      <c r="DJ153" s="500"/>
      <c r="DK153" s="53"/>
      <c r="DL153" s="240"/>
      <c r="DW153" s="43"/>
      <c r="DX153" s="43"/>
      <c r="DY153" s="43"/>
      <c r="DZ153" s="43"/>
      <c r="EA153" s="43"/>
      <c r="EB153" s="43"/>
      <c r="EC153" s="43"/>
      <c r="ED153" s="43"/>
      <c r="EE153" s="43"/>
      <c r="EF153" s="43"/>
      <c r="EG153" s="43"/>
      <c r="EH153" s="43"/>
      <c r="EI153" s="43"/>
      <c r="EJ153" s="43"/>
      <c r="EK153" s="43"/>
      <c r="EL153" s="43"/>
      <c r="EM153" s="43"/>
      <c r="EN153" s="43"/>
      <c r="EO153" s="43"/>
      <c r="EP153" s="43"/>
      <c r="EQ153" s="43"/>
      <c r="ER153" s="43"/>
      <c r="ES153" s="43"/>
      <c r="ET153" s="43"/>
      <c r="EU153" s="43"/>
      <c r="EV153" s="43"/>
      <c r="EW153" s="43"/>
      <c r="EX153" s="43"/>
      <c r="EY153" s="43"/>
      <c r="EZ153" s="43"/>
      <c r="FA153" s="43"/>
      <c r="FB153" s="43"/>
      <c r="FC153" s="43"/>
      <c r="FD153" s="43"/>
      <c r="FE153" s="43"/>
      <c r="FF153" s="43"/>
      <c r="FG153" s="43"/>
      <c r="FH153" s="43"/>
      <c r="FI153" s="43"/>
      <c r="FJ153" s="43"/>
      <c r="FK153" s="43"/>
      <c r="FL153" s="43"/>
      <c r="FM153" s="43"/>
      <c r="FN153" s="43"/>
      <c r="FO153" s="43"/>
      <c r="FP153" s="43"/>
      <c r="FQ153" s="43"/>
      <c r="FR153" s="43"/>
      <c r="FS153" s="43"/>
      <c r="FT153" s="43"/>
      <c r="FU153" s="43"/>
      <c r="FV153" s="43"/>
      <c r="FW153" s="43"/>
      <c r="FX153" s="43"/>
      <c r="FY153" s="43"/>
      <c r="FZ153" s="43"/>
      <c r="GA153" s="43"/>
      <c r="GB153" s="43"/>
      <c r="GC153" s="43"/>
      <c r="GD153" s="43"/>
      <c r="GE153" s="43"/>
      <c r="GF153" s="43"/>
      <c r="GG153" s="43"/>
      <c r="GH153" s="43"/>
      <c r="GI153" s="43"/>
      <c r="GJ153" s="43"/>
      <c r="GK153" s="43"/>
      <c r="GL153" s="43"/>
      <c r="GM153" s="43"/>
      <c r="GN153" s="43"/>
      <c r="GO153" s="43"/>
      <c r="GP153" s="43"/>
      <c r="GQ153" s="43"/>
      <c r="GR153" s="43"/>
      <c r="GS153" s="43"/>
      <c r="GT153" s="43"/>
      <c r="GU153" s="43"/>
      <c r="GV153" s="43"/>
      <c r="GW153" s="43"/>
    </row>
    <row r="154" ht="15.0" customHeight="1">
      <c r="A154" s="318"/>
      <c r="B154" s="70"/>
      <c r="C154" s="57"/>
      <c r="D154" s="57"/>
      <c r="E154" s="57"/>
      <c r="F154" s="57"/>
      <c r="G154" s="57"/>
      <c r="H154" s="57"/>
      <c r="I154" s="57"/>
      <c r="J154" s="57"/>
      <c r="K154" s="57"/>
      <c r="L154" s="57"/>
      <c r="M154" s="58"/>
      <c r="N154" s="70"/>
      <c r="O154" s="57"/>
      <c r="P154" s="57"/>
      <c r="Q154" s="58"/>
      <c r="R154" s="70"/>
      <c r="S154" s="57"/>
      <c r="T154" s="57"/>
      <c r="U154" s="58"/>
      <c r="V154" s="70"/>
      <c r="W154" s="57"/>
      <c r="X154" s="57"/>
      <c r="Y154" s="58"/>
      <c r="Z154" s="70"/>
      <c r="AA154" s="57"/>
      <c r="AB154" s="57"/>
      <c r="AC154" s="58"/>
      <c r="AD154" s="70"/>
      <c r="AE154" s="57"/>
      <c r="AF154" s="57"/>
      <c r="AG154" s="57"/>
      <c r="AH154" s="57"/>
      <c r="AI154" s="57"/>
      <c r="AJ154" s="57"/>
      <c r="AK154" s="58"/>
      <c r="AL154" s="70"/>
      <c r="AM154" s="57"/>
      <c r="AN154" s="57"/>
      <c r="AO154" s="57"/>
      <c r="AP154" s="57"/>
      <c r="AQ154" s="57"/>
      <c r="AR154" s="57"/>
      <c r="AS154" s="57"/>
      <c r="AT154" s="57"/>
      <c r="AU154" s="57"/>
      <c r="AV154" s="57"/>
      <c r="AW154" s="58"/>
      <c r="AX154" s="70"/>
      <c r="AY154" s="57"/>
      <c r="AZ154" s="57"/>
      <c r="BA154" s="58"/>
      <c r="BB154" s="70"/>
      <c r="BC154" s="57"/>
      <c r="BD154" s="57"/>
      <c r="BE154" s="58"/>
      <c r="BF154" s="70"/>
      <c r="BG154" s="57"/>
      <c r="BH154" s="57"/>
      <c r="BI154" s="58"/>
      <c r="BJ154" s="70"/>
      <c r="BK154" s="57"/>
      <c r="BL154" s="57"/>
      <c r="BM154" s="58"/>
      <c r="BN154" s="70"/>
      <c r="BO154" s="57"/>
      <c r="BP154" s="57"/>
      <c r="BQ154" s="57"/>
      <c r="BR154" s="57"/>
      <c r="BS154" s="57"/>
      <c r="BT154" s="57"/>
      <c r="BU154" s="58"/>
      <c r="BV154" s="70"/>
      <c r="BW154" s="57"/>
      <c r="BX154" s="57"/>
      <c r="BY154" s="57"/>
      <c r="BZ154" s="58"/>
      <c r="CA154" s="70"/>
      <c r="CB154" s="57"/>
      <c r="CC154" s="57"/>
      <c r="CD154" s="58"/>
      <c r="CE154" s="59"/>
      <c r="CN154" s="60"/>
      <c r="CO154" s="43"/>
      <c r="CY154" s="60"/>
      <c r="CZ154" s="501" t="s">
        <v>6</v>
      </c>
      <c r="DB154" s="502">
        <v>0.0</v>
      </c>
      <c r="DD154" s="502">
        <v>0.0</v>
      </c>
      <c r="DF154" s="502">
        <v>0.0</v>
      </c>
      <c r="DH154" s="502"/>
      <c r="DJ154" s="503"/>
      <c r="DK154" s="53"/>
      <c r="DL154" s="43"/>
      <c r="DM154" s="43"/>
      <c r="DN154" s="43"/>
      <c r="DO154" s="43"/>
      <c r="DP154" s="43"/>
      <c r="DQ154" s="43"/>
      <c r="DR154" s="43"/>
      <c r="DS154" s="43"/>
      <c r="DT154" s="43"/>
      <c r="DU154" s="43"/>
      <c r="DV154" s="43"/>
      <c r="DW154" s="43"/>
      <c r="DX154" s="43"/>
      <c r="DY154" s="43"/>
      <c r="DZ154" s="43"/>
      <c r="EA154" s="43"/>
      <c r="EB154" s="43"/>
      <c r="EC154" s="43"/>
      <c r="ED154" s="43"/>
      <c r="EE154" s="43"/>
      <c r="EF154" s="43"/>
      <c r="EG154" s="43"/>
      <c r="EH154" s="43"/>
      <c r="EI154" s="43"/>
      <c r="EJ154" s="43"/>
      <c r="EK154" s="43"/>
      <c r="EL154" s="43"/>
      <c r="EM154" s="43"/>
      <c r="EN154" s="43"/>
      <c r="EO154" s="43"/>
      <c r="EP154" s="43"/>
      <c r="EQ154" s="43"/>
      <c r="ER154" s="43"/>
      <c r="ES154" s="43"/>
      <c r="ET154" s="43"/>
      <c r="EU154" s="43"/>
      <c r="EV154" s="43"/>
      <c r="EW154" s="43"/>
      <c r="EX154" s="43"/>
      <c r="EY154" s="43"/>
      <c r="EZ154" s="43"/>
      <c r="FA154" s="43"/>
      <c r="FB154" s="43"/>
      <c r="FC154" s="43"/>
      <c r="FD154" s="43"/>
      <c r="FE154" s="43"/>
      <c r="FF154" s="43"/>
      <c r="FG154" s="43"/>
      <c r="FH154" s="43"/>
      <c r="FI154" s="43"/>
      <c r="FJ154" s="43"/>
      <c r="FK154" s="43"/>
      <c r="FL154" s="43"/>
      <c r="FM154" s="43"/>
      <c r="FN154" s="43"/>
      <c r="FO154" s="43"/>
      <c r="FP154" s="43"/>
      <c r="FQ154" s="43"/>
      <c r="FR154" s="43"/>
      <c r="FS154" s="43"/>
      <c r="FT154" s="43"/>
      <c r="FU154" s="43"/>
      <c r="FV154" s="43"/>
      <c r="FW154" s="43"/>
      <c r="FX154" s="43"/>
      <c r="FY154" s="43"/>
      <c r="FZ154" s="43"/>
      <c r="GA154" s="43"/>
      <c r="GB154" s="43"/>
      <c r="GC154" s="43"/>
      <c r="GD154" s="43"/>
      <c r="GE154" s="43"/>
      <c r="GF154" s="43"/>
      <c r="GG154" s="43"/>
      <c r="GH154" s="43"/>
      <c r="GI154" s="43"/>
      <c r="GJ154" s="43"/>
      <c r="GK154" s="43"/>
      <c r="GL154" s="43"/>
      <c r="GM154" s="43"/>
      <c r="GN154" s="43"/>
      <c r="GO154" s="43"/>
      <c r="GP154" s="43"/>
      <c r="GQ154" s="43"/>
      <c r="GR154" s="43"/>
      <c r="GS154" s="43"/>
      <c r="GT154" s="43"/>
      <c r="GU154" s="43"/>
      <c r="GV154" s="43"/>
      <c r="GW154" s="43"/>
    </row>
    <row r="155" ht="15.0" customHeight="1">
      <c r="A155" s="318"/>
      <c r="B155" s="504" t="s">
        <v>863</v>
      </c>
      <c r="C155" s="46"/>
      <c r="D155" s="46"/>
      <c r="E155" s="46"/>
      <c r="F155" s="46"/>
      <c r="G155" s="46"/>
      <c r="H155" s="46"/>
      <c r="I155" s="46"/>
      <c r="J155" s="46"/>
      <c r="K155" s="46"/>
      <c r="L155" s="46"/>
      <c r="M155" s="47"/>
      <c r="N155" s="90"/>
      <c r="O155" s="46"/>
      <c r="P155" s="46"/>
      <c r="Q155" s="47"/>
      <c r="R155" s="90"/>
      <c r="S155" s="46"/>
      <c r="T155" s="46"/>
      <c r="U155" s="47"/>
      <c r="V155" s="90"/>
      <c r="W155" s="46"/>
      <c r="X155" s="46"/>
      <c r="Y155" s="47"/>
      <c r="Z155" s="91"/>
      <c r="AA155" s="46"/>
      <c r="AB155" s="46"/>
      <c r="AC155" s="47"/>
      <c r="AD155" s="91"/>
      <c r="AE155" s="46"/>
      <c r="AF155" s="46"/>
      <c r="AG155" s="46"/>
      <c r="AH155" s="46"/>
      <c r="AI155" s="46"/>
      <c r="AJ155" s="46"/>
      <c r="AK155" s="47"/>
      <c r="AL155" s="127"/>
      <c r="AM155" s="46"/>
      <c r="AN155" s="46"/>
      <c r="AO155" s="46"/>
      <c r="AP155" s="46"/>
      <c r="AQ155" s="46"/>
      <c r="AR155" s="46"/>
      <c r="AS155" s="46"/>
      <c r="AT155" s="46"/>
      <c r="AU155" s="46"/>
      <c r="AV155" s="46"/>
      <c r="AW155" s="47"/>
      <c r="AX155" s="127"/>
      <c r="AY155" s="46"/>
      <c r="AZ155" s="46"/>
      <c r="BA155" s="47"/>
      <c r="BB155" s="127"/>
      <c r="BC155" s="46"/>
      <c r="BD155" s="46"/>
      <c r="BE155" s="47"/>
      <c r="BF155" s="127"/>
      <c r="BG155" s="46"/>
      <c r="BH155" s="46"/>
      <c r="BI155" s="47"/>
      <c r="BJ155" s="127"/>
      <c r="BK155" s="46"/>
      <c r="BL155" s="46"/>
      <c r="BM155" s="47"/>
      <c r="BN155" s="127"/>
      <c r="BO155" s="46"/>
      <c r="BP155" s="46"/>
      <c r="BQ155" s="46"/>
      <c r="BR155" s="46"/>
      <c r="BS155" s="46"/>
      <c r="BT155" s="46"/>
      <c r="BU155" s="47"/>
      <c r="BV155" s="496" t="s">
        <v>792</v>
      </c>
      <c r="BW155" s="49"/>
      <c r="BX155" s="49"/>
      <c r="BY155" s="49"/>
      <c r="BZ155" s="50"/>
      <c r="CA155" s="497">
        <f>Sum(V155:Y191,BF155:BI191)</f>
        <v>0</v>
      </c>
      <c r="CB155" s="49"/>
      <c r="CC155" s="49"/>
      <c r="CD155" s="50"/>
      <c r="CE155" s="505" t="s">
        <v>397</v>
      </c>
      <c r="CF155" s="49"/>
      <c r="CG155" s="50"/>
      <c r="CH155" s="506" t="s">
        <v>436</v>
      </c>
      <c r="CI155" s="49"/>
      <c r="CJ155" s="49"/>
      <c r="CK155" s="50"/>
      <c r="CL155" s="507">
        <f>VLOOKUP(CH155,C18:I26,4,false)+VLOOKUP(CH155,C18:I26,6,false)</f>
        <v>2</v>
      </c>
      <c r="CM155" s="49"/>
      <c r="CN155" s="50"/>
      <c r="CO155" s="43"/>
      <c r="CP155" s="508" t="s">
        <v>453</v>
      </c>
      <c r="CQ155" s="49"/>
      <c r="CR155" s="50"/>
      <c r="CS155" s="506" t="s">
        <v>596</v>
      </c>
      <c r="CT155" s="49"/>
      <c r="CU155" s="49"/>
      <c r="CV155" s="50"/>
      <c r="CW155" s="509">
        <f>VLOOKUP(CS155,CZ155:DI191,3,FALSE)</f>
        <v>0</v>
      </c>
      <c r="CX155" s="49"/>
      <c r="CY155" s="50"/>
      <c r="CZ155" s="501" t="s">
        <v>421</v>
      </c>
      <c r="DB155" s="510">
        <f t="shared" ref="DB155:DB163" si="31">V18</f>
        <v>2</v>
      </c>
      <c r="DD155" s="510">
        <f t="shared" ref="DD155:DD163" si="32">AD18</f>
        <v>0</v>
      </c>
      <c r="DF155" s="510">
        <f t="shared" ref="DF155:DF163" si="33">F18+H18</f>
        <v>2</v>
      </c>
      <c r="DH155" s="510"/>
      <c r="DJ155" s="503"/>
      <c r="DK155" s="53"/>
      <c r="DL155" s="43"/>
      <c r="DM155" s="43"/>
      <c r="DN155" s="43"/>
      <c r="DO155" s="43"/>
      <c r="DP155" s="43"/>
      <c r="DQ155" s="43"/>
      <c r="DR155" s="43"/>
      <c r="DS155" s="43"/>
      <c r="DT155" s="43"/>
      <c r="DU155" s="43"/>
      <c r="DV155" s="43"/>
      <c r="DW155" s="43"/>
      <c r="DX155" s="43"/>
      <c r="DY155" s="43"/>
      <c r="DZ155" s="43"/>
      <c r="EA155" s="43"/>
      <c r="EB155" s="43"/>
      <c r="EC155" s="43"/>
      <c r="ED155" s="43"/>
      <c r="EE155" s="43"/>
      <c r="EF155" s="43"/>
      <c r="EG155" s="43"/>
      <c r="EH155" s="43"/>
      <c r="EI155" s="43"/>
      <c r="EJ155" s="43"/>
      <c r="EK155" s="43"/>
      <c r="EL155" s="43"/>
      <c r="EM155" s="43"/>
      <c r="EN155" s="43"/>
      <c r="EO155" s="43"/>
      <c r="EP155" s="43"/>
      <c r="EQ155" s="43"/>
      <c r="ER155" s="43"/>
      <c r="ES155" s="43"/>
      <c r="ET155" s="43"/>
      <c r="EU155" s="43"/>
      <c r="EV155" s="43"/>
      <c r="EW155" s="43"/>
      <c r="EX155" s="43"/>
      <c r="EY155" s="43"/>
      <c r="EZ155" s="43"/>
      <c r="FA155" s="43"/>
      <c r="FB155" s="43"/>
      <c r="FC155" s="43"/>
      <c r="FD155" s="43"/>
      <c r="FE155" s="43"/>
      <c r="FF155" s="43"/>
      <c r="FG155" s="43"/>
      <c r="FH155" s="43"/>
      <c r="FI155" s="43"/>
      <c r="FJ155" s="43"/>
      <c r="FK155" s="43"/>
      <c r="FL155" s="43"/>
      <c r="FM155" s="43"/>
      <c r="FN155" s="43"/>
      <c r="FO155" s="43"/>
      <c r="FP155" s="43"/>
      <c r="FQ155" s="43"/>
      <c r="FR155" s="43"/>
      <c r="FS155" s="43"/>
      <c r="FT155" s="43"/>
      <c r="FU155" s="43"/>
      <c r="FV155" s="43"/>
      <c r="FW155" s="43"/>
      <c r="FX155" s="43"/>
      <c r="FY155" s="43"/>
      <c r="FZ155" s="43"/>
      <c r="GA155" s="43"/>
      <c r="GB155" s="43"/>
      <c r="GC155" s="43"/>
      <c r="GD155" s="43"/>
      <c r="GE155" s="43"/>
      <c r="GF155" s="43"/>
      <c r="GG155" s="43"/>
      <c r="GH155" s="43"/>
      <c r="GI155" s="43"/>
      <c r="GJ155" s="43"/>
      <c r="GK155" s="43"/>
      <c r="GL155" s="43"/>
      <c r="GM155" s="43"/>
      <c r="GN155" s="43"/>
      <c r="GO155" s="43"/>
      <c r="GP155" s="43"/>
      <c r="GQ155" s="43"/>
      <c r="GR155" s="43"/>
      <c r="GS155" s="43"/>
      <c r="GT155" s="43"/>
      <c r="GU155" s="43"/>
      <c r="GV155" s="43"/>
      <c r="GW155" s="43"/>
    </row>
    <row r="156" ht="15.0" customHeight="1">
      <c r="A156" s="318"/>
      <c r="B156" s="504" t="s">
        <v>865</v>
      </c>
      <c r="C156" s="46"/>
      <c r="D156" s="46"/>
      <c r="E156" s="46"/>
      <c r="F156" s="46"/>
      <c r="G156" s="46"/>
      <c r="H156" s="46"/>
      <c r="I156" s="46"/>
      <c r="J156" s="46"/>
      <c r="K156" s="46"/>
      <c r="L156" s="46"/>
      <c r="M156" s="47"/>
      <c r="N156" s="91"/>
      <c r="O156" s="46"/>
      <c r="P156" s="46"/>
      <c r="Q156" s="47"/>
      <c r="R156" s="90"/>
      <c r="S156" s="46"/>
      <c r="T156" s="46"/>
      <c r="U156" s="47"/>
      <c r="V156" s="91"/>
      <c r="W156" s="46"/>
      <c r="X156" s="46"/>
      <c r="Y156" s="47"/>
      <c r="Z156" s="90"/>
      <c r="AA156" s="46"/>
      <c r="AB156" s="46"/>
      <c r="AC156" s="47"/>
      <c r="AD156" s="91"/>
      <c r="AE156" s="46"/>
      <c r="AF156" s="46"/>
      <c r="AG156" s="46"/>
      <c r="AH156" s="46"/>
      <c r="AI156" s="46"/>
      <c r="AJ156" s="46"/>
      <c r="AK156" s="47"/>
      <c r="AL156" s="127"/>
      <c r="AM156" s="46"/>
      <c r="AN156" s="46"/>
      <c r="AO156" s="46"/>
      <c r="AP156" s="46"/>
      <c r="AQ156" s="46"/>
      <c r="AR156" s="46"/>
      <c r="AS156" s="46"/>
      <c r="AT156" s="46"/>
      <c r="AU156" s="46"/>
      <c r="AV156" s="46"/>
      <c r="AW156" s="47"/>
      <c r="AX156" s="127"/>
      <c r="AY156" s="46"/>
      <c r="AZ156" s="46"/>
      <c r="BA156" s="47"/>
      <c r="BB156" s="127"/>
      <c r="BC156" s="46"/>
      <c r="BD156" s="46"/>
      <c r="BE156" s="47"/>
      <c r="BF156" s="127"/>
      <c r="BG156" s="46"/>
      <c r="BH156" s="46"/>
      <c r="BI156" s="47"/>
      <c r="BJ156" s="127"/>
      <c r="BK156" s="46"/>
      <c r="BL156" s="46"/>
      <c r="BM156" s="47"/>
      <c r="BN156" s="127"/>
      <c r="BO156" s="46"/>
      <c r="BP156" s="46"/>
      <c r="BQ156" s="46"/>
      <c r="BR156" s="46"/>
      <c r="BS156" s="46"/>
      <c r="BT156" s="46"/>
      <c r="BU156" s="47"/>
      <c r="BV156" s="70"/>
      <c r="BW156" s="57"/>
      <c r="BX156" s="57"/>
      <c r="BY156" s="57"/>
      <c r="BZ156" s="58"/>
      <c r="CA156" s="70"/>
      <c r="CB156" s="57"/>
      <c r="CC156" s="57"/>
      <c r="CD156" s="58"/>
      <c r="CE156" s="70"/>
      <c r="CF156" s="57"/>
      <c r="CG156" s="58"/>
      <c r="CH156" s="70"/>
      <c r="CI156" s="57"/>
      <c r="CJ156" s="57"/>
      <c r="CK156" s="58"/>
      <c r="CL156" s="70"/>
      <c r="CM156" s="57"/>
      <c r="CN156" s="58"/>
      <c r="CO156" s="43"/>
      <c r="CP156" s="57"/>
      <c r="CQ156" s="57"/>
      <c r="CR156" s="58"/>
      <c r="CS156" s="70"/>
      <c r="CT156" s="57"/>
      <c r="CU156" s="57"/>
      <c r="CV156" s="58"/>
      <c r="CW156" s="70"/>
      <c r="CX156" s="57"/>
      <c r="CY156" s="58"/>
      <c r="CZ156" s="501" t="s">
        <v>424</v>
      </c>
      <c r="DB156" s="510">
        <f t="shared" si="31"/>
        <v>2</v>
      </c>
      <c r="DD156" s="510">
        <f t="shared" si="32"/>
        <v>0</v>
      </c>
      <c r="DF156" s="510">
        <f t="shared" si="33"/>
        <v>2</v>
      </c>
      <c r="DH156" s="510"/>
      <c r="DJ156" s="503"/>
      <c r="DK156" s="53"/>
      <c r="DL156" s="43"/>
      <c r="DM156" s="43"/>
      <c r="DN156" s="43"/>
      <c r="DO156" s="43"/>
      <c r="DP156" s="43"/>
      <c r="DQ156" s="43"/>
      <c r="DR156" s="43"/>
      <c r="DS156" s="43"/>
      <c r="DT156" s="43"/>
      <c r="DU156" s="43"/>
      <c r="DV156" s="43"/>
      <c r="DW156" s="43"/>
      <c r="DX156" s="43"/>
      <c r="DY156" s="43"/>
      <c r="DZ156" s="43"/>
      <c r="EA156" s="43"/>
      <c r="EB156" s="43"/>
      <c r="EC156" s="43"/>
      <c r="ED156" s="43"/>
      <c r="EE156" s="43"/>
      <c r="EF156" s="43"/>
      <c r="EG156" s="43"/>
      <c r="EH156" s="43"/>
      <c r="EI156" s="43"/>
      <c r="EJ156" s="43"/>
      <c r="EK156" s="43"/>
      <c r="EL156" s="43"/>
      <c r="EM156" s="43"/>
      <c r="EN156" s="43"/>
      <c r="EO156" s="43"/>
      <c r="EP156" s="43"/>
      <c r="EQ156" s="43"/>
      <c r="ER156" s="43"/>
      <c r="ES156" s="43"/>
      <c r="ET156" s="43"/>
      <c r="EU156" s="43"/>
      <c r="EV156" s="43"/>
      <c r="EW156" s="43"/>
      <c r="EX156" s="43"/>
      <c r="EY156" s="43"/>
      <c r="EZ156" s="43"/>
      <c r="FA156" s="43"/>
      <c r="FB156" s="43"/>
      <c r="FC156" s="43"/>
      <c r="FD156" s="43"/>
      <c r="FE156" s="43"/>
      <c r="FF156" s="43"/>
      <c r="FG156" s="43"/>
      <c r="FH156" s="43"/>
      <c r="FI156" s="43"/>
      <c r="FJ156" s="43"/>
      <c r="FK156" s="43"/>
      <c r="FL156" s="43"/>
      <c r="FM156" s="43"/>
      <c r="FN156" s="43"/>
      <c r="FO156" s="43"/>
      <c r="FP156" s="43"/>
      <c r="FQ156" s="43"/>
      <c r="FR156" s="43"/>
      <c r="FS156" s="43"/>
      <c r="FT156" s="43"/>
      <c r="FU156" s="43"/>
      <c r="FV156" s="43"/>
      <c r="FW156" s="43"/>
      <c r="FX156" s="43"/>
      <c r="FY156" s="43"/>
      <c r="FZ156" s="43"/>
      <c r="GA156" s="43"/>
      <c r="GB156" s="43"/>
      <c r="GC156" s="43"/>
      <c r="GD156" s="43"/>
      <c r="GE156" s="43"/>
      <c r="GF156" s="43"/>
      <c r="GG156" s="43"/>
      <c r="GH156" s="43"/>
      <c r="GI156" s="43"/>
      <c r="GJ156" s="43"/>
      <c r="GK156" s="43"/>
      <c r="GL156" s="43"/>
      <c r="GM156" s="43"/>
      <c r="GN156" s="43"/>
      <c r="GO156" s="43"/>
      <c r="GP156" s="43"/>
      <c r="GQ156" s="43"/>
      <c r="GR156" s="43"/>
      <c r="GS156" s="43"/>
      <c r="GT156" s="43"/>
      <c r="GU156" s="43"/>
      <c r="GV156" s="43"/>
      <c r="GW156" s="43"/>
    </row>
    <row r="157" ht="15.0" customHeight="1">
      <c r="A157" s="318"/>
      <c r="B157" s="504" t="s">
        <v>866</v>
      </c>
      <c r="C157" s="46"/>
      <c r="D157" s="46"/>
      <c r="E157" s="46"/>
      <c r="F157" s="46"/>
      <c r="G157" s="46"/>
      <c r="H157" s="46"/>
      <c r="I157" s="46"/>
      <c r="J157" s="46"/>
      <c r="K157" s="46"/>
      <c r="L157" s="46"/>
      <c r="M157" s="47"/>
      <c r="N157" s="91"/>
      <c r="O157" s="46"/>
      <c r="P157" s="46"/>
      <c r="Q157" s="47"/>
      <c r="R157" s="90"/>
      <c r="S157" s="46"/>
      <c r="T157" s="46"/>
      <c r="U157" s="47"/>
      <c r="V157" s="91"/>
      <c r="W157" s="46"/>
      <c r="X157" s="46"/>
      <c r="Y157" s="47"/>
      <c r="Z157" s="90"/>
      <c r="AA157" s="46"/>
      <c r="AB157" s="46"/>
      <c r="AC157" s="47"/>
      <c r="AD157" s="91"/>
      <c r="AE157" s="46"/>
      <c r="AF157" s="46"/>
      <c r="AG157" s="46"/>
      <c r="AH157" s="46"/>
      <c r="AI157" s="46"/>
      <c r="AJ157" s="46"/>
      <c r="AK157" s="47"/>
      <c r="AL157" s="127"/>
      <c r="AM157" s="46"/>
      <c r="AN157" s="46"/>
      <c r="AO157" s="46"/>
      <c r="AP157" s="46"/>
      <c r="AQ157" s="46"/>
      <c r="AR157" s="46"/>
      <c r="AS157" s="46"/>
      <c r="AT157" s="46"/>
      <c r="AU157" s="46"/>
      <c r="AV157" s="46"/>
      <c r="AW157" s="47"/>
      <c r="AX157" s="127"/>
      <c r="AY157" s="46"/>
      <c r="AZ157" s="46"/>
      <c r="BA157" s="47"/>
      <c r="BB157" s="127"/>
      <c r="BC157" s="46"/>
      <c r="BD157" s="46"/>
      <c r="BE157" s="47"/>
      <c r="BF157" s="127"/>
      <c r="BG157" s="46"/>
      <c r="BH157" s="46"/>
      <c r="BI157" s="47"/>
      <c r="BJ157" s="127"/>
      <c r="BK157" s="46"/>
      <c r="BL157" s="46"/>
      <c r="BM157" s="47"/>
      <c r="BN157" s="127"/>
      <c r="BO157" s="46"/>
      <c r="BP157" s="46"/>
      <c r="BQ157" s="46"/>
      <c r="BR157" s="46"/>
      <c r="BS157" s="46"/>
      <c r="BT157" s="46"/>
      <c r="BU157" s="47"/>
      <c r="BV157" s="496" t="s">
        <v>801</v>
      </c>
      <c r="BW157" s="49"/>
      <c r="BX157" s="49"/>
      <c r="BY157" s="49"/>
      <c r="BZ157" s="50"/>
      <c r="CA157" s="497">
        <f>MOD(CC181,3)</f>
        <v>0</v>
      </c>
      <c r="CB157" s="49"/>
      <c r="CC157" s="49"/>
      <c r="CD157" s="50"/>
      <c r="CE157" s="505" t="s">
        <v>803</v>
      </c>
      <c r="CF157" s="49"/>
      <c r="CG157" s="49"/>
      <c r="CH157" s="49"/>
      <c r="CI157" s="49"/>
      <c r="CJ157" s="50"/>
      <c r="CK157" s="512" t="b">
        <v>0</v>
      </c>
      <c r="CL157" s="49"/>
      <c r="CM157" s="49"/>
      <c r="CN157" s="50"/>
      <c r="CO157" s="43"/>
      <c r="CP157" s="508" t="s">
        <v>804</v>
      </c>
      <c r="CQ157" s="49"/>
      <c r="CR157" s="49"/>
      <c r="CS157" s="49"/>
      <c r="CT157" s="49"/>
      <c r="CU157" s="50"/>
      <c r="CV157" s="512" t="b">
        <v>0</v>
      </c>
      <c r="CW157" s="49"/>
      <c r="CX157" s="49"/>
      <c r="CY157" s="50"/>
      <c r="CZ157" s="501" t="s">
        <v>428</v>
      </c>
      <c r="DB157" s="510">
        <f t="shared" si="31"/>
        <v>2</v>
      </c>
      <c r="DD157" s="510">
        <f t="shared" si="32"/>
        <v>0</v>
      </c>
      <c r="DF157" s="510">
        <f t="shared" si="33"/>
        <v>2</v>
      </c>
      <c r="DH157" s="510"/>
      <c r="DJ157" s="503"/>
      <c r="DK157" s="53"/>
      <c r="DL157" s="128"/>
      <c r="DM157" s="43"/>
      <c r="DN157" s="43"/>
      <c r="DO157" s="43"/>
      <c r="DP157" s="43"/>
      <c r="DQ157" s="43"/>
      <c r="DR157" s="43"/>
      <c r="DS157" s="43"/>
      <c r="DT157" s="43"/>
      <c r="DU157" s="43"/>
      <c r="DV157" s="43"/>
      <c r="DW157" s="43"/>
      <c r="DX157" s="43"/>
      <c r="DY157" s="43"/>
      <c r="DZ157" s="43"/>
      <c r="EA157" s="43"/>
      <c r="EB157" s="43"/>
      <c r="EC157" s="43"/>
      <c r="ED157" s="43"/>
      <c r="EE157" s="43"/>
      <c r="EF157" s="43"/>
      <c r="EG157" s="43"/>
      <c r="EH157" s="43"/>
      <c r="EI157" s="43"/>
      <c r="EJ157" s="43"/>
      <c r="EK157" s="43"/>
      <c r="EL157" s="43"/>
      <c r="EM157" s="43"/>
      <c r="EN157" s="43"/>
      <c r="EO157" s="43"/>
      <c r="EP157" s="43"/>
      <c r="EQ157" s="43"/>
      <c r="ER157" s="43"/>
      <c r="ES157" s="43"/>
      <c r="ET157" s="43"/>
      <c r="EU157" s="43"/>
      <c r="EV157" s="43"/>
      <c r="EW157" s="43"/>
      <c r="EX157" s="43"/>
      <c r="EY157" s="43"/>
      <c r="EZ157" s="43"/>
      <c r="FA157" s="43"/>
      <c r="FB157" s="43"/>
      <c r="FC157" s="43"/>
      <c r="FD157" s="43"/>
      <c r="FE157" s="43"/>
      <c r="FF157" s="43"/>
      <c r="FG157" s="43"/>
      <c r="FH157" s="43"/>
      <c r="FI157" s="43"/>
      <c r="FJ157" s="43"/>
      <c r="FK157" s="43"/>
      <c r="FL157" s="43"/>
      <c r="FM157" s="43"/>
      <c r="FN157" s="43"/>
      <c r="FO157" s="43"/>
      <c r="FP157" s="43"/>
      <c r="FQ157" s="43"/>
      <c r="FR157" s="43"/>
      <c r="FS157" s="43"/>
      <c r="FT157" s="43"/>
      <c r="FU157" s="43"/>
      <c r="FV157" s="43"/>
      <c r="FW157" s="43"/>
      <c r="FX157" s="43"/>
      <c r="FY157" s="43"/>
      <c r="FZ157" s="43"/>
      <c r="GA157" s="43"/>
      <c r="GB157" s="43"/>
      <c r="GC157" s="43"/>
      <c r="GD157" s="43"/>
      <c r="GE157" s="43"/>
      <c r="GF157" s="43"/>
      <c r="GG157" s="43"/>
      <c r="GH157" s="43"/>
      <c r="GI157" s="43"/>
      <c r="GJ157" s="43"/>
      <c r="GK157" s="43"/>
      <c r="GL157" s="43"/>
      <c r="GM157" s="43"/>
      <c r="GN157" s="43"/>
      <c r="GO157" s="43"/>
      <c r="GP157" s="43"/>
      <c r="GQ157" s="43"/>
      <c r="GR157" s="43"/>
      <c r="GS157" s="43"/>
      <c r="GT157" s="43"/>
      <c r="GU157" s="43"/>
      <c r="GV157" s="43"/>
      <c r="GW157" s="43"/>
    </row>
    <row r="158" ht="15.0" customHeight="1">
      <c r="A158" s="318"/>
      <c r="B158" s="504" t="s">
        <v>870</v>
      </c>
      <c r="C158" s="46"/>
      <c r="D158" s="46"/>
      <c r="E158" s="46"/>
      <c r="F158" s="46"/>
      <c r="G158" s="46"/>
      <c r="H158" s="46"/>
      <c r="I158" s="46"/>
      <c r="J158" s="46"/>
      <c r="K158" s="46"/>
      <c r="L158" s="46"/>
      <c r="M158" s="47"/>
      <c r="N158" s="91"/>
      <c r="O158" s="46"/>
      <c r="P158" s="46"/>
      <c r="Q158" s="47"/>
      <c r="R158" s="90"/>
      <c r="S158" s="46"/>
      <c r="T158" s="46"/>
      <c r="U158" s="47"/>
      <c r="V158" s="91"/>
      <c r="W158" s="46"/>
      <c r="X158" s="46"/>
      <c r="Y158" s="47"/>
      <c r="Z158" s="90"/>
      <c r="AA158" s="46"/>
      <c r="AB158" s="46"/>
      <c r="AC158" s="47"/>
      <c r="AD158" s="91"/>
      <c r="AE158" s="46"/>
      <c r="AF158" s="46"/>
      <c r="AG158" s="46"/>
      <c r="AH158" s="46"/>
      <c r="AI158" s="46"/>
      <c r="AJ158" s="46"/>
      <c r="AK158" s="47"/>
      <c r="AL158" s="127"/>
      <c r="AM158" s="46"/>
      <c r="AN158" s="46"/>
      <c r="AO158" s="46"/>
      <c r="AP158" s="46"/>
      <c r="AQ158" s="46"/>
      <c r="AR158" s="46"/>
      <c r="AS158" s="46"/>
      <c r="AT158" s="46"/>
      <c r="AU158" s="46"/>
      <c r="AV158" s="46"/>
      <c r="AW158" s="47"/>
      <c r="AX158" s="127"/>
      <c r="AY158" s="46"/>
      <c r="AZ158" s="46"/>
      <c r="BA158" s="47"/>
      <c r="BB158" s="127"/>
      <c r="BC158" s="46"/>
      <c r="BD158" s="46"/>
      <c r="BE158" s="47"/>
      <c r="BF158" s="127"/>
      <c r="BG158" s="46"/>
      <c r="BH158" s="46"/>
      <c r="BI158" s="47"/>
      <c r="BJ158" s="127"/>
      <c r="BK158" s="46"/>
      <c r="BL158" s="46"/>
      <c r="BM158" s="47"/>
      <c r="BN158" s="127"/>
      <c r="BO158" s="46"/>
      <c r="BP158" s="46"/>
      <c r="BQ158" s="46"/>
      <c r="BR158" s="46"/>
      <c r="BS158" s="46"/>
      <c r="BT158" s="46"/>
      <c r="BU158" s="47"/>
      <c r="BV158" s="70"/>
      <c r="BW158" s="57"/>
      <c r="BX158" s="57"/>
      <c r="BY158" s="57"/>
      <c r="BZ158" s="58"/>
      <c r="CA158" s="70"/>
      <c r="CB158" s="57"/>
      <c r="CC158" s="57"/>
      <c r="CD158" s="58"/>
      <c r="CE158" s="70"/>
      <c r="CF158" s="57"/>
      <c r="CG158" s="57"/>
      <c r="CH158" s="57"/>
      <c r="CI158" s="57"/>
      <c r="CJ158" s="58"/>
      <c r="CK158" s="70"/>
      <c r="CL158" s="57"/>
      <c r="CM158" s="57"/>
      <c r="CN158" s="58"/>
      <c r="CO158" s="43"/>
      <c r="CP158" s="57"/>
      <c r="CQ158" s="57"/>
      <c r="CR158" s="57"/>
      <c r="CS158" s="57"/>
      <c r="CT158" s="57"/>
      <c r="CU158" s="58"/>
      <c r="CV158" s="70"/>
      <c r="CW158" s="57"/>
      <c r="CX158" s="57"/>
      <c r="CY158" s="58"/>
      <c r="CZ158" s="501" t="s">
        <v>432</v>
      </c>
      <c r="DB158" s="510">
        <f t="shared" si="31"/>
        <v>2</v>
      </c>
      <c r="DD158" s="510">
        <f t="shared" si="32"/>
        <v>0</v>
      </c>
      <c r="DF158" s="510">
        <f t="shared" si="33"/>
        <v>2</v>
      </c>
      <c r="DH158" s="510"/>
      <c r="DJ158" s="503"/>
      <c r="DK158" s="53"/>
      <c r="DL158" s="128"/>
      <c r="DM158" s="43"/>
      <c r="DN158" s="43"/>
      <c r="DO158" s="43"/>
      <c r="DP158" s="43"/>
      <c r="DQ158" s="43"/>
      <c r="DR158" s="43"/>
      <c r="DS158" s="43"/>
      <c r="DT158" s="43"/>
      <c r="DU158" s="43"/>
      <c r="DV158" s="43"/>
      <c r="DW158" s="43"/>
      <c r="DX158" s="43"/>
      <c r="DY158" s="43"/>
      <c r="DZ158" s="43"/>
      <c r="EA158" s="43"/>
      <c r="EB158" s="43"/>
      <c r="EC158" s="43"/>
      <c r="ED158" s="43"/>
      <c r="EE158" s="43"/>
      <c r="EF158" s="43"/>
      <c r="EG158" s="43"/>
      <c r="EH158" s="43"/>
      <c r="EI158" s="43"/>
      <c r="EJ158" s="43"/>
      <c r="EK158" s="43"/>
      <c r="EL158" s="43"/>
      <c r="EM158" s="43"/>
      <c r="EN158" s="43"/>
      <c r="EO158" s="43"/>
      <c r="EP158" s="43"/>
      <c r="EQ158" s="43"/>
      <c r="ER158" s="43"/>
      <c r="ES158" s="43"/>
      <c r="ET158" s="43"/>
      <c r="EU158" s="43"/>
      <c r="EV158" s="43"/>
      <c r="EW158" s="43"/>
      <c r="EX158" s="43"/>
      <c r="EY158" s="43"/>
      <c r="EZ158" s="43"/>
      <c r="FA158" s="43"/>
      <c r="FB158" s="43"/>
      <c r="FC158" s="43"/>
      <c r="FD158" s="43"/>
      <c r="FE158" s="43"/>
      <c r="FF158" s="43"/>
      <c r="FG158" s="43"/>
      <c r="FH158" s="43"/>
      <c r="FI158" s="43"/>
      <c r="FJ158" s="43"/>
      <c r="FK158" s="43"/>
      <c r="FL158" s="43"/>
      <c r="FM158" s="43"/>
      <c r="FN158" s="43"/>
      <c r="FO158" s="43"/>
      <c r="FP158" s="43"/>
      <c r="FQ158" s="43"/>
      <c r="FR158" s="43"/>
      <c r="FS158" s="43"/>
      <c r="FT158" s="43"/>
      <c r="FU158" s="43"/>
      <c r="FV158" s="43"/>
      <c r="FW158" s="43"/>
      <c r="FX158" s="43"/>
      <c r="FY158" s="43"/>
      <c r="FZ158" s="43"/>
      <c r="GA158" s="43"/>
      <c r="GB158" s="43"/>
      <c r="GC158" s="43"/>
      <c r="GD158" s="43"/>
      <c r="GE158" s="43"/>
      <c r="GF158" s="43"/>
      <c r="GG158" s="43"/>
      <c r="GH158" s="43"/>
      <c r="GI158" s="43"/>
      <c r="GJ158" s="43"/>
      <c r="GK158" s="43"/>
      <c r="GL158" s="43"/>
      <c r="GM158" s="43"/>
      <c r="GN158" s="43"/>
      <c r="GO158" s="43"/>
      <c r="GP158" s="43"/>
      <c r="GQ158" s="43"/>
      <c r="GR158" s="43"/>
      <c r="GS158" s="43"/>
      <c r="GT158" s="43"/>
      <c r="GU158" s="43"/>
      <c r="GV158" s="43"/>
      <c r="GW158" s="43"/>
    </row>
    <row r="159" ht="15.0" customHeight="1">
      <c r="A159" s="318"/>
      <c r="B159" s="504" t="s">
        <v>879</v>
      </c>
      <c r="C159" s="46"/>
      <c r="D159" s="46"/>
      <c r="E159" s="46"/>
      <c r="F159" s="46"/>
      <c r="G159" s="46"/>
      <c r="H159" s="46"/>
      <c r="I159" s="46"/>
      <c r="J159" s="46"/>
      <c r="K159" s="46"/>
      <c r="L159" s="46"/>
      <c r="M159" s="47"/>
      <c r="N159" s="91"/>
      <c r="O159" s="46"/>
      <c r="P159" s="46"/>
      <c r="Q159" s="47"/>
      <c r="R159" s="90"/>
      <c r="S159" s="46"/>
      <c r="T159" s="46"/>
      <c r="U159" s="47"/>
      <c r="V159" s="90"/>
      <c r="W159" s="46"/>
      <c r="X159" s="46"/>
      <c r="Y159" s="47"/>
      <c r="Z159" s="90"/>
      <c r="AA159" s="46"/>
      <c r="AB159" s="46"/>
      <c r="AC159" s="47"/>
      <c r="AD159" s="91"/>
      <c r="AE159" s="46"/>
      <c r="AF159" s="46"/>
      <c r="AG159" s="46"/>
      <c r="AH159" s="46"/>
      <c r="AI159" s="46"/>
      <c r="AJ159" s="46"/>
      <c r="AK159" s="47"/>
      <c r="AL159" s="127"/>
      <c r="AM159" s="46"/>
      <c r="AN159" s="46"/>
      <c r="AO159" s="46"/>
      <c r="AP159" s="46"/>
      <c r="AQ159" s="46"/>
      <c r="AR159" s="46"/>
      <c r="AS159" s="46"/>
      <c r="AT159" s="46"/>
      <c r="AU159" s="46"/>
      <c r="AV159" s="46"/>
      <c r="AW159" s="47"/>
      <c r="AX159" s="127"/>
      <c r="AY159" s="46"/>
      <c r="AZ159" s="46"/>
      <c r="BA159" s="47"/>
      <c r="BB159" s="127"/>
      <c r="BC159" s="46"/>
      <c r="BD159" s="46"/>
      <c r="BE159" s="47"/>
      <c r="BF159" s="127"/>
      <c r="BG159" s="46"/>
      <c r="BH159" s="46"/>
      <c r="BI159" s="47"/>
      <c r="BJ159" s="127"/>
      <c r="BK159" s="46"/>
      <c r="BL159" s="46"/>
      <c r="BM159" s="47"/>
      <c r="BN159" s="127"/>
      <c r="BO159" s="46"/>
      <c r="BP159" s="46"/>
      <c r="BQ159" s="46"/>
      <c r="BR159" s="46"/>
      <c r="BS159" s="46"/>
      <c r="BT159" s="46"/>
      <c r="BU159" s="47"/>
      <c r="BV159" s="496" t="s">
        <v>807</v>
      </c>
      <c r="BW159" s="49"/>
      <c r="BX159" s="49"/>
      <c r="BY159" s="49"/>
      <c r="BZ159" s="50"/>
      <c r="CA159" s="497">
        <f>MOD((INT(CC181/3)+CC183),3)</f>
        <v>0</v>
      </c>
      <c r="CB159" s="49"/>
      <c r="CC159" s="49"/>
      <c r="CD159" s="50"/>
      <c r="CE159" s="505" t="s">
        <v>808</v>
      </c>
      <c r="CF159" s="49"/>
      <c r="CG159" s="49"/>
      <c r="CH159" s="49"/>
      <c r="CI159" s="49"/>
      <c r="CJ159" s="50"/>
      <c r="CK159" s="506">
        <v>3.0</v>
      </c>
      <c r="CL159" s="49"/>
      <c r="CM159" s="49"/>
      <c r="CN159" s="50"/>
      <c r="CO159" s="43"/>
      <c r="CP159" s="508" t="s">
        <v>809</v>
      </c>
      <c r="CQ159" s="49"/>
      <c r="CR159" s="49"/>
      <c r="CS159" s="49"/>
      <c r="CT159" s="49"/>
      <c r="CU159" s="50"/>
      <c r="CV159" s="506">
        <v>5.0</v>
      </c>
      <c r="CW159" s="49"/>
      <c r="CX159" s="49"/>
      <c r="CY159" s="50"/>
      <c r="CZ159" s="501" t="s">
        <v>436</v>
      </c>
      <c r="DB159" s="510">
        <f t="shared" si="31"/>
        <v>2</v>
      </c>
      <c r="DD159" s="510">
        <f t="shared" si="32"/>
        <v>0</v>
      </c>
      <c r="DF159" s="510">
        <f t="shared" si="33"/>
        <v>2</v>
      </c>
      <c r="DH159" s="510"/>
      <c r="DJ159" s="503"/>
      <c r="DK159" s="53"/>
      <c r="DL159" s="128"/>
      <c r="DM159" s="43"/>
      <c r="DN159" s="43"/>
      <c r="DO159" s="43"/>
      <c r="DP159" s="43"/>
      <c r="DQ159" s="43"/>
      <c r="DR159" s="43"/>
      <c r="DS159" s="43"/>
      <c r="DT159" s="43"/>
      <c r="DU159" s="43"/>
      <c r="DV159" s="43"/>
      <c r="DW159" s="43"/>
      <c r="DX159" s="43"/>
      <c r="DY159" s="43"/>
      <c r="DZ159" s="43"/>
      <c r="EA159" s="43"/>
      <c r="EB159" s="43"/>
      <c r="EC159" s="43"/>
      <c r="ED159" s="43"/>
      <c r="EE159" s="43"/>
      <c r="EF159" s="43"/>
      <c r="EG159" s="43"/>
      <c r="EH159" s="43"/>
      <c r="EI159" s="43"/>
      <c r="EJ159" s="43"/>
      <c r="EK159" s="43"/>
      <c r="EL159" s="43"/>
      <c r="EM159" s="43"/>
      <c r="EN159" s="43"/>
      <c r="EO159" s="43"/>
      <c r="EP159" s="43"/>
      <c r="EQ159" s="43"/>
      <c r="ER159" s="43"/>
      <c r="ES159" s="43"/>
      <c r="ET159" s="43"/>
      <c r="EU159" s="43"/>
      <c r="EV159" s="43"/>
      <c r="EW159" s="43"/>
      <c r="EX159" s="43"/>
      <c r="EY159" s="43"/>
      <c r="EZ159" s="43"/>
      <c r="FA159" s="43"/>
      <c r="FB159" s="43"/>
      <c r="FC159" s="43"/>
      <c r="FD159" s="43"/>
      <c r="FE159" s="43"/>
      <c r="FF159" s="43"/>
      <c r="FG159" s="43"/>
      <c r="FH159" s="43"/>
      <c r="FI159" s="43"/>
      <c r="FJ159" s="43"/>
      <c r="FK159" s="43"/>
      <c r="FL159" s="43"/>
      <c r="FM159" s="43"/>
      <c r="FN159" s="43"/>
      <c r="FO159" s="43"/>
      <c r="FP159" s="43"/>
      <c r="FQ159" s="43"/>
      <c r="FR159" s="43"/>
      <c r="FS159" s="43"/>
      <c r="FT159" s="43"/>
      <c r="FU159" s="43"/>
      <c r="FV159" s="43"/>
      <c r="FW159" s="43"/>
      <c r="FX159" s="43"/>
      <c r="FY159" s="43"/>
      <c r="FZ159" s="43"/>
      <c r="GA159" s="43"/>
      <c r="GB159" s="43"/>
      <c r="GC159" s="43"/>
      <c r="GD159" s="43"/>
      <c r="GE159" s="43"/>
      <c r="GF159" s="43"/>
      <c r="GG159" s="43"/>
      <c r="GH159" s="43"/>
      <c r="GI159" s="43"/>
      <c r="GJ159" s="43"/>
      <c r="GK159" s="43"/>
      <c r="GL159" s="43"/>
      <c r="GM159" s="43"/>
      <c r="GN159" s="43"/>
      <c r="GO159" s="43"/>
      <c r="GP159" s="43"/>
      <c r="GQ159" s="43"/>
      <c r="GR159" s="43"/>
      <c r="GS159" s="43"/>
      <c r="GT159" s="43"/>
      <c r="GU159" s="43"/>
      <c r="GV159" s="43"/>
      <c r="GW159" s="43"/>
    </row>
    <row r="160" ht="15.0" customHeight="1">
      <c r="A160" s="318"/>
      <c r="B160" s="504" t="s">
        <v>874</v>
      </c>
      <c r="C160" s="46"/>
      <c r="D160" s="46"/>
      <c r="E160" s="46"/>
      <c r="F160" s="46"/>
      <c r="G160" s="46"/>
      <c r="H160" s="46"/>
      <c r="I160" s="46"/>
      <c r="J160" s="46"/>
      <c r="K160" s="46"/>
      <c r="L160" s="46"/>
      <c r="M160" s="47"/>
      <c r="N160" s="91"/>
      <c r="O160" s="46"/>
      <c r="P160" s="46"/>
      <c r="Q160" s="47"/>
      <c r="R160" s="90"/>
      <c r="S160" s="46"/>
      <c r="T160" s="46"/>
      <c r="U160" s="47"/>
      <c r="V160" s="90"/>
      <c r="W160" s="46"/>
      <c r="X160" s="46"/>
      <c r="Y160" s="47"/>
      <c r="Z160" s="90"/>
      <c r="AA160" s="46"/>
      <c r="AB160" s="46"/>
      <c r="AC160" s="47"/>
      <c r="AD160" s="91"/>
      <c r="AE160" s="46"/>
      <c r="AF160" s="46"/>
      <c r="AG160" s="46"/>
      <c r="AH160" s="46"/>
      <c r="AI160" s="46"/>
      <c r="AJ160" s="46"/>
      <c r="AK160" s="47"/>
      <c r="AL160" s="127"/>
      <c r="AM160" s="46"/>
      <c r="AN160" s="46"/>
      <c r="AO160" s="46"/>
      <c r="AP160" s="46"/>
      <c r="AQ160" s="46"/>
      <c r="AR160" s="46"/>
      <c r="AS160" s="46"/>
      <c r="AT160" s="46"/>
      <c r="AU160" s="46"/>
      <c r="AV160" s="46"/>
      <c r="AW160" s="47"/>
      <c r="AX160" s="127"/>
      <c r="AY160" s="46"/>
      <c r="AZ160" s="46"/>
      <c r="BA160" s="47"/>
      <c r="BB160" s="127"/>
      <c r="BC160" s="46"/>
      <c r="BD160" s="46"/>
      <c r="BE160" s="47"/>
      <c r="BF160" s="127"/>
      <c r="BG160" s="46"/>
      <c r="BH160" s="46"/>
      <c r="BI160" s="47"/>
      <c r="BJ160" s="127"/>
      <c r="BK160" s="46"/>
      <c r="BL160" s="46"/>
      <c r="BM160" s="47"/>
      <c r="BN160" s="127"/>
      <c r="BO160" s="46"/>
      <c r="BP160" s="46"/>
      <c r="BQ160" s="46"/>
      <c r="BR160" s="46"/>
      <c r="BS160" s="46"/>
      <c r="BT160" s="46"/>
      <c r="BU160" s="47"/>
      <c r="BV160" s="70"/>
      <c r="BW160" s="57"/>
      <c r="BX160" s="57"/>
      <c r="BY160" s="57"/>
      <c r="BZ160" s="58"/>
      <c r="CA160" s="70"/>
      <c r="CB160" s="57"/>
      <c r="CC160" s="57"/>
      <c r="CD160" s="58"/>
      <c r="CE160" s="70"/>
      <c r="CF160" s="57"/>
      <c r="CG160" s="57"/>
      <c r="CH160" s="57"/>
      <c r="CI160" s="57"/>
      <c r="CJ160" s="58"/>
      <c r="CK160" s="70"/>
      <c r="CL160" s="57"/>
      <c r="CM160" s="57"/>
      <c r="CN160" s="58"/>
      <c r="CO160" s="43"/>
      <c r="CP160" s="57"/>
      <c r="CQ160" s="57"/>
      <c r="CR160" s="57"/>
      <c r="CS160" s="57"/>
      <c r="CT160" s="57"/>
      <c r="CU160" s="58"/>
      <c r="CV160" s="70"/>
      <c r="CW160" s="57"/>
      <c r="CX160" s="57"/>
      <c r="CY160" s="58"/>
      <c r="CZ160" s="501" t="s">
        <v>439</v>
      </c>
      <c r="DB160" s="510">
        <f t="shared" si="31"/>
        <v>2</v>
      </c>
      <c r="DD160" s="510">
        <f t="shared" si="32"/>
        <v>0</v>
      </c>
      <c r="DF160" s="510">
        <f t="shared" si="33"/>
        <v>2</v>
      </c>
      <c r="DH160" s="510"/>
      <c r="DJ160" s="503"/>
      <c r="DK160" s="53"/>
      <c r="DL160" s="128"/>
      <c r="DM160" s="43"/>
      <c r="DN160" s="43"/>
      <c r="DO160" s="43"/>
      <c r="DP160" s="43"/>
      <c r="DQ160" s="43"/>
      <c r="DR160" s="43"/>
      <c r="DS160" s="43"/>
      <c r="DT160" s="43"/>
      <c r="DU160" s="43"/>
      <c r="DV160" s="43"/>
      <c r="DW160" s="43"/>
      <c r="DX160" s="43"/>
      <c r="DY160" s="43"/>
      <c r="DZ160" s="43"/>
      <c r="EA160" s="43"/>
      <c r="EB160" s="43"/>
      <c r="EC160" s="43"/>
      <c r="ED160" s="43"/>
      <c r="EE160" s="43"/>
      <c r="EF160" s="43"/>
      <c r="EG160" s="43"/>
      <c r="EH160" s="43"/>
      <c r="EI160" s="43"/>
      <c r="EJ160" s="43"/>
      <c r="EK160" s="43"/>
      <c r="EL160" s="43"/>
      <c r="EM160" s="43"/>
      <c r="EN160" s="43"/>
      <c r="EO160" s="43"/>
      <c r="EP160" s="43"/>
      <c r="EQ160" s="43"/>
      <c r="ER160" s="43"/>
      <c r="ES160" s="43"/>
      <c r="ET160" s="43"/>
      <c r="EU160" s="43"/>
      <c r="EV160" s="43"/>
      <c r="EW160" s="43"/>
      <c r="EX160" s="43"/>
      <c r="EY160" s="43"/>
      <c r="EZ160" s="43"/>
      <c r="FA160" s="43"/>
      <c r="FB160" s="43"/>
      <c r="FC160" s="43"/>
      <c r="FD160" s="43"/>
      <c r="FE160" s="43"/>
      <c r="FF160" s="43"/>
      <c r="FG160" s="43"/>
      <c r="FH160" s="43"/>
      <c r="FI160" s="43"/>
      <c r="FJ160" s="43"/>
      <c r="FK160" s="43"/>
      <c r="FL160" s="43"/>
      <c r="FM160" s="43"/>
      <c r="FN160" s="43"/>
      <c r="FO160" s="43"/>
      <c r="FP160" s="43"/>
      <c r="FQ160" s="43"/>
      <c r="FR160" s="43"/>
      <c r="FS160" s="43"/>
      <c r="FT160" s="43"/>
      <c r="FU160" s="43"/>
      <c r="FV160" s="43"/>
      <c r="FW160" s="43"/>
      <c r="FX160" s="43"/>
      <c r="FY160" s="43"/>
      <c r="FZ160" s="43"/>
      <c r="GA160" s="43"/>
      <c r="GB160" s="43"/>
      <c r="GC160" s="43"/>
      <c r="GD160" s="43"/>
      <c r="GE160" s="43"/>
      <c r="GF160" s="43"/>
      <c r="GG160" s="43"/>
      <c r="GH160" s="43"/>
      <c r="GI160" s="43"/>
      <c r="GJ160" s="43"/>
      <c r="GK160" s="43"/>
      <c r="GL160" s="43"/>
      <c r="GM160" s="43"/>
      <c r="GN160" s="43"/>
      <c r="GO160" s="43"/>
      <c r="GP160" s="43"/>
      <c r="GQ160" s="43"/>
      <c r="GR160" s="43"/>
      <c r="GS160" s="43"/>
      <c r="GT160" s="43"/>
      <c r="GU160" s="43"/>
      <c r="GV160" s="43"/>
      <c r="GW160" s="43"/>
    </row>
    <row r="161" ht="15.0" customHeight="1">
      <c r="A161" s="318"/>
      <c r="B161" s="504" t="s">
        <v>880</v>
      </c>
      <c r="C161" s="46"/>
      <c r="D161" s="46"/>
      <c r="E161" s="46"/>
      <c r="F161" s="46"/>
      <c r="G161" s="46"/>
      <c r="H161" s="46"/>
      <c r="I161" s="46"/>
      <c r="J161" s="46"/>
      <c r="K161" s="46"/>
      <c r="L161" s="46"/>
      <c r="M161" s="47"/>
      <c r="N161" s="91"/>
      <c r="O161" s="46"/>
      <c r="P161" s="46"/>
      <c r="Q161" s="47"/>
      <c r="R161" s="90"/>
      <c r="S161" s="46"/>
      <c r="T161" s="46"/>
      <c r="U161" s="47"/>
      <c r="V161" s="90"/>
      <c r="W161" s="46"/>
      <c r="X161" s="46"/>
      <c r="Y161" s="47"/>
      <c r="Z161" s="90"/>
      <c r="AA161" s="46"/>
      <c r="AB161" s="46"/>
      <c r="AC161" s="47"/>
      <c r="AD161" s="91"/>
      <c r="AE161" s="46"/>
      <c r="AF161" s="46"/>
      <c r="AG161" s="46"/>
      <c r="AH161" s="46"/>
      <c r="AI161" s="46"/>
      <c r="AJ161" s="46"/>
      <c r="AK161" s="47"/>
      <c r="AL161" s="127"/>
      <c r="AM161" s="46"/>
      <c r="AN161" s="46"/>
      <c r="AO161" s="46"/>
      <c r="AP161" s="46"/>
      <c r="AQ161" s="46"/>
      <c r="AR161" s="46"/>
      <c r="AS161" s="46"/>
      <c r="AT161" s="46"/>
      <c r="AU161" s="46"/>
      <c r="AV161" s="46"/>
      <c r="AW161" s="47"/>
      <c r="AX161" s="127"/>
      <c r="AY161" s="46"/>
      <c r="AZ161" s="46"/>
      <c r="BA161" s="47"/>
      <c r="BB161" s="127"/>
      <c r="BC161" s="46"/>
      <c r="BD161" s="46"/>
      <c r="BE161" s="47"/>
      <c r="BF161" s="127"/>
      <c r="BG161" s="46"/>
      <c r="BH161" s="46"/>
      <c r="BI161" s="47"/>
      <c r="BJ161" s="127"/>
      <c r="BK161" s="46"/>
      <c r="BL161" s="46"/>
      <c r="BM161" s="47"/>
      <c r="BN161" s="127"/>
      <c r="BO161" s="46"/>
      <c r="BP161" s="46"/>
      <c r="BQ161" s="46"/>
      <c r="BR161" s="46"/>
      <c r="BS161" s="46"/>
      <c r="BT161" s="46"/>
      <c r="BU161" s="47"/>
      <c r="BV161" s="496" t="s">
        <v>812</v>
      </c>
      <c r="BW161" s="49"/>
      <c r="BX161" s="49"/>
      <c r="BY161" s="49"/>
      <c r="BZ161" s="50"/>
      <c r="CA161" s="497">
        <f>MOD(INT((INT(CC181/3)+CC183)/3)+CC185,3)</f>
        <v>0</v>
      </c>
      <c r="CB161" s="49"/>
      <c r="CC161" s="49"/>
      <c r="CD161" s="50"/>
      <c r="CE161" s="505" t="s">
        <v>813</v>
      </c>
      <c r="CF161" s="49"/>
      <c r="CG161" s="49"/>
      <c r="CH161" s="49"/>
      <c r="CI161" s="49"/>
      <c r="CJ161" s="50"/>
      <c r="CK161" s="513">
        <v>5.0</v>
      </c>
      <c r="CL161" s="49"/>
      <c r="CM161" s="49"/>
      <c r="CN161" s="50"/>
      <c r="CO161" s="43"/>
      <c r="CP161" s="508" t="s">
        <v>814</v>
      </c>
      <c r="CQ161" s="49"/>
      <c r="CR161" s="49"/>
      <c r="CS161" s="49"/>
      <c r="CT161" s="49"/>
      <c r="CU161" s="50"/>
      <c r="CV161" s="513">
        <v>10.0</v>
      </c>
      <c r="CW161" s="49"/>
      <c r="CX161" s="49"/>
      <c r="CY161" s="50"/>
      <c r="CZ161" s="501" t="s">
        <v>445</v>
      </c>
      <c r="DB161" s="510">
        <f t="shared" si="31"/>
        <v>2</v>
      </c>
      <c r="DD161" s="510">
        <f t="shared" si="32"/>
        <v>0</v>
      </c>
      <c r="DF161" s="510">
        <f t="shared" si="33"/>
        <v>2</v>
      </c>
      <c r="DH161" s="510"/>
      <c r="DJ161" s="503"/>
      <c r="DK161" s="53"/>
      <c r="DL161" s="128"/>
      <c r="DM161" s="43"/>
      <c r="DN161" s="43"/>
      <c r="DO161" s="43"/>
      <c r="DP161" s="43"/>
      <c r="DQ161" s="43"/>
      <c r="DR161" s="43"/>
      <c r="DS161" s="43"/>
      <c r="DT161" s="43"/>
      <c r="DU161" s="43"/>
      <c r="DV161" s="43"/>
      <c r="DW161" s="43"/>
      <c r="DX161" s="43"/>
      <c r="DY161" s="43"/>
      <c r="DZ161" s="43"/>
      <c r="EA161" s="43"/>
      <c r="EB161" s="43"/>
      <c r="EC161" s="43"/>
      <c r="ED161" s="43"/>
      <c r="EE161" s="43"/>
      <c r="EF161" s="43"/>
      <c r="EG161" s="43"/>
      <c r="EH161" s="43"/>
      <c r="EI161" s="43"/>
      <c r="EJ161" s="43"/>
      <c r="EK161" s="43"/>
      <c r="EL161" s="43"/>
      <c r="EM161" s="43"/>
      <c r="EN161" s="43"/>
      <c r="EO161" s="43"/>
      <c r="EP161" s="43"/>
      <c r="EQ161" s="43"/>
      <c r="ER161" s="43"/>
      <c r="ES161" s="43"/>
      <c r="ET161" s="43"/>
      <c r="EU161" s="43"/>
      <c r="EV161" s="43"/>
      <c r="EW161" s="43"/>
      <c r="EX161" s="43"/>
      <c r="EY161" s="43"/>
      <c r="EZ161" s="43"/>
      <c r="FA161" s="43"/>
      <c r="FB161" s="43"/>
      <c r="FC161" s="43"/>
      <c r="FD161" s="43"/>
      <c r="FE161" s="43"/>
      <c r="FF161" s="43"/>
      <c r="FG161" s="43"/>
      <c r="FH161" s="43"/>
      <c r="FI161" s="43"/>
      <c r="FJ161" s="43"/>
      <c r="FK161" s="43"/>
      <c r="FL161" s="43"/>
      <c r="FM161" s="43"/>
      <c r="FN161" s="43"/>
      <c r="FO161" s="43"/>
      <c r="FP161" s="43"/>
      <c r="FQ161" s="43"/>
      <c r="FR161" s="43"/>
      <c r="FS161" s="43"/>
      <c r="FT161" s="43"/>
      <c r="FU161" s="43"/>
      <c r="FV161" s="43"/>
      <c r="FW161" s="43"/>
      <c r="FX161" s="43"/>
      <c r="FY161" s="43"/>
      <c r="FZ161" s="43"/>
      <c r="GA161" s="43"/>
      <c r="GB161" s="43"/>
      <c r="GC161" s="43"/>
      <c r="GD161" s="43"/>
      <c r="GE161" s="43"/>
      <c r="GF161" s="43"/>
      <c r="GG161" s="43"/>
      <c r="GH161" s="43"/>
      <c r="GI161" s="43"/>
      <c r="GJ161" s="43"/>
      <c r="GK161" s="43"/>
      <c r="GL161" s="43"/>
      <c r="GM161" s="43"/>
      <c r="GN161" s="43"/>
      <c r="GO161" s="43"/>
      <c r="GP161" s="43"/>
      <c r="GQ161" s="43"/>
      <c r="GR161" s="43"/>
      <c r="GS161" s="43"/>
      <c r="GT161" s="43"/>
      <c r="GU161" s="43"/>
      <c r="GV161" s="43"/>
      <c r="GW161" s="43"/>
    </row>
    <row r="162" ht="15.0" customHeight="1">
      <c r="A162" s="318"/>
      <c r="B162" s="504"/>
      <c r="C162" s="46"/>
      <c r="D162" s="46"/>
      <c r="E162" s="46"/>
      <c r="F162" s="46"/>
      <c r="G162" s="46"/>
      <c r="H162" s="46"/>
      <c r="I162" s="46"/>
      <c r="J162" s="46"/>
      <c r="K162" s="46"/>
      <c r="L162" s="46"/>
      <c r="M162" s="47"/>
      <c r="N162" s="91"/>
      <c r="O162" s="46"/>
      <c r="P162" s="46"/>
      <c r="Q162" s="47"/>
      <c r="R162" s="90"/>
      <c r="S162" s="46"/>
      <c r="T162" s="46"/>
      <c r="U162" s="47"/>
      <c r="V162" s="90"/>
      <c r="W162" s="46"/>
      <c r="X162" s="46"/>
      <c r="Y162" s="47"/>
      <c r="Z162" s="91"/>
      <c r="AA162" s="46"/>
      <c r="AB162" s="46"/>
      <c r="AC162" s="47"/>
      <c r="AD162" s="91"/>
      <c r="AE162" s="46"/>
      <c r="AF162" s="46"/>
      <c r="AG162" s="46"/>
      <c r="AH162" s="46"/>
      <c r="AI162" s="46"/>
      <c r="AJ162" s="46"/>
      <c r="AK162" s="47"/>
      <c r="AL162" s="127"/>
      <c r="AM162" s="46"/>
      <c r="AN162" s="46"/>
      <c r="AO162" s="46"/>
      <c r="AP162" s="46"/>
      <c r="AQ162" s="46"/>
      <c r="AR162" s="46"/>
      <c r="AS162" s="46"/>
      <c r="AT162" s="46"/>
      <c r="AU162" s="46"/>
      <c r="AV162" s="46"/>
      <c r="AW162" s="47"/>
      <c r="AX162" s="127"/>
      <c r="AY162" s="46"/>
      <c r="AZ162" s="46"/>
      <c r="BA162" s="47"/>
      <c r="BB162" s="127"/>
      <c r="BC162" s="46"/>
      <c r="BD162" s="46"/>
      <c r="BE162" s="47"/>
      <c r="BF162" s="127"/>
      <c r="BG162" s="46"/>
      <c r="BH162" s="46"/>
      <c r="BI162" s="47"/>
      <c r="BJ162" s="127"/>
      <c r="BK162" s="46"/>
      <c r="BL162" s="46"/>
      <c r="BM162" s="47"/>
      <c r="BN162" s="127"/>
      <c r="BO162" s="46"/>
      <c r="BP162" s="46"/>
      <c r="BQ162" s="46"/>
      <c r="BR162" s="46"/>
      <c r="BS162" s="46"/>
      <c r="BT162" s="46"/>
      <c r="BU162" s="47"/>
      <c r="BV162" s="70"/>
      <c r="BW162" s="57"/>
      <c r="BX162" s="57"/>
      <c r="BY162" s="57"/>
      <c r="BZ162" s="58"/>
      <c r="CA162" s="70"/>
      <c r="CB162" s="57"/>
      <c r="CC162" s="57"/>
      <c r="CD162" s="58"/>
      <c r="CE162" s="70"/>
      <c r="CF162" s="57"/>
      <c r="CG162" s="57"/>
      <c r="CH162" s="57"/>
      <c r="CI162" s="57"/>
      <c r="CJ162" s="58"/>
      <c r="CK162" s="70"/>
      <c r="CL162" s="57"/>
      <c r="CM162" s="57"/>
      <c r="CN162" s="58"/>
      <c r="CO162" s="43"/>
      <c r="CP162" s="57"/>
      <c r="CQ162" s="57"/>
      <c r="CR162" s="57"/>
      <c r="CS162" s="57"/>
      <c r="CT162" s="57"/>
      <c r="CU162" s="58"/>
      <c r="CV162" s="70"/>
      <c r="CW162" s="57"/>
      <c r="CX162" s="57"/>
      <c r="CY162" s="58"/>
      <c r="CZ162" s="501" t="s">
        <v>446</v>
      </c>
      <c r="DB162" s="510">
        <f t="shared" si="31"/>
        <v>2</v>
      </c>
      <c r="DD162" s="510">
        <f t="shared" si="32"/>
        <v>0</v>
      </c>
      <c r="DF162" s="510">
        <f t="shared" si="33"/>
        <v>2</v>
      </c>
      <c r="DH162" s="510"/>
      <c r="DJ162" s="503"/>
      <c r="DK162" s="53"/>
      <c r="DL162" s="128"/>
      <c r="DM162" s="43"/>
      <c r="DN162" s="43"/>
      <c r="DO162" s="43"/>
      <c r="DP162" s="43"/>
      <c r="DQ162" s="43"/>
      <c r="DR162" s="43"/>
      <c r="DS162" s="43"/>
      <c r="DT162" s="43"/>
      <c r="DU162" s="43"/>
      <c r="DV162" s="43"/>
      <c r="DW162" s="43"/>
      <c r="DX162" s="43"/>
      <c r="DY162" s="43"/>
      <c r="DZ162" s="43"/>
      <c r="EA162" s="43"/>
      <c r="EB162" s="43"/>
      <c r="EC162" s="43"/>
      <c r="ED162" s="43"/>
      <c r="EE162" s="43"/>
      <c r="EF162" s="43"/>
      <c r="EG162" s="43"/>
      <c r="EH162" s="43"/>
      <c r="EI162" s="43"/>
      <c r="EJ162" s="43"/>
      <c r="EK162" s="43"/>
      <c r="EL162" s="43"/>
      <c r="EM162" s="43"/>
      <c r="EN162" s="43"/>
      <c r="EO162" s="43"/>
      <c r="EP162" s="43"/>
      <c r="EQ162" s="43"/>
      <c r="ER162" s="43"/>
      <c r="ES162" s="43"/>
      <c r="ET162" s="43"/>
      <c r="EU162" s="43"/>
      <c r="EV162" s="43"/>
      <c r="EW162" s="43"/>
      <c r="EX162" s="43"/>
      <c r="EY162" s="43"/>
      <c r="EZ162" s="43"/>
      <c r="FA162" s="43"/>
      <c r="FB162" s="43"/>
      <c r="FC162" s="43"/>
      <c r="FD162" s="43"/>
      <c r="FE162" s="43"/>
      <c r="FF162" s="43"/>
      <c r="FG162" s="43"/>
      <c r="FH162" s="43"/>
      <c r="FI162" s="43"/>
      <c r="FJ162" s="43"/>
      <c r="FK162" s="43"/>
      <c r="FL162" s="43"/>
      <c r="FM162" s="43"/>
      <c r="FN162" s="43"/>
      <c r="FO162" s="43"/>
      <c r="FP162" s="43"/>
      <c r="FQ162" s="43"/>
      <c r="FR162" s="43"/>
      <c r="FS162" s="43"/>
      <c r="FT162" s="43"/>
      <c r="FU162" s="43"/>
      <c r="FV162" s="43"/>
      <c r="FW162" s="43"/>
      <c r="FX162" s="43"/>
      <c r="FY162" s="43"/>
      <c r="FZ162" s="43"/>
      <c r="GA162" s="43"/>
      <c r="GB162" s="43"/>
      <c r="GC162" s="43"/>
      <c r="GD162" s="43"/>
      <c r="GE162" s="43"/>
      <c r="GF162" s="43"/>
      <c r="GG162" s="43"/>
      <c r="GH162" s="43"/>
      <c r="GI162" s="43"/>
      <c r="GJ162" s="43"/>
      <c r="GK162" s="43"/>
      <c r="GL162" s="43"/>
      <c r="GM162" s="43"/>
      <c r="GN162" s="43"/>
      <c r="GO162" s="43"/>
      <c r="GP162" s="43"/>
      <c r="GQ162" s="43"/>
      <c r="GR162" s="43"/>
      <c r="GS162" s="43"/>
      <c r="GT162" s="43"/>
      <c r="GU162" s="43"/>
      <c r="GV162" s="43"/>
      <c r="GW162" s="43"/>
    </row>
    <row r="163" ht="15.0" customHeight="1">
      <c r="A163" s="318"/>
      <c r="B163" s="504"/>
      <c r="C163" s="46"/>
      <c r="D163" s="46"/>
      <c r="E163" s="46"/>
      <c r="F163" s="46"/>
      <c r="G163" s="46"/>
      <c r="H163" s="46"/>
      <c r="I163" s="46"/>
      <c r="J163" s="46"/>
      <c r="K163" s="46"/>
      <c r="L163" s="46"/>
      <c r="M163" s="47"/>
      <c r="N163" s="91"/>
      <c r="O163" s="46"/>
      <c r="P163" s="46"/>
      <c r="Q163" s="47"/>
      <c r="R163" s="90"/>
      <c r="S163" s="46"/>
      <c r="T163" s="46"/>
      <c r="U163" s="47"/>
      <c r="V163" s="90"/>
      <c r="W163" s="46"/>
      <c r="X163" s="46"/>
      <c r="Y163" s="47"/>
      <c r="Z163" s="91"/>
      <c r="AA163" s="46"/>
      <c r="AB163" s="46"/>
      <c r="AC163" s="47"/>
      <c r="AD163" s="91"/>
      <c r="AE163" s="46"/>
      <c r="AF163" s="46"/>
      <c r="AG163" s="46"/>
      <c r="AH163" s="46"/>
      <c r="AI163" s="46"/>
      <c r="AJ163" s="46"/>
      <c r="AK163" s="47"/>
      <c r="AL163" s="127"/>
      <c r="AM163" s="46"/>
      <c r="AN163" s="46"/>
      <c r="AO163" s="46"/>
      <c r="AP163" s="46"/>
      <c r="AQ163" s="46"/>
      <c r="AR163" s="46"/>
      <c r="AS163" s="46"/>
      <c r="AT163" s="46"/>
      <c r="AU163" s="46"/>
      <c r="AV163" s="46"/>
      <c r="AW163" s="47"/>
      <c r="AX163" s="127"/>
      <c r="AY163" s="46"/>
      <c r="AZ163" s="46"/>
      <c r="BA163" s="47"/>
      <c r="BB163" s="127"/>
      <c r="BC163" s="46"/>
      <c r="BD163" s="46"/>
      <c r="BE163" s="47"/>
      <c r="BF163" s="127"/>
      <c r="BG163" s="46"/>
      <c r="BH163" s="46"/>
      <c r="BI163" s="47"/>
      <c r="BJ163" s="127"/>
      <c r="BK163" s="46"/>
      <c r="BL163" s="46"/>
      <c r="BM163" s="47"/>
      <c r="BN163" s="127"/>
      <c r="BO163" s="46"/>
      <c r="BP163" s="46"/>
      <c r="BQ163" s="46"/>
      <c r="BR163" s="46"/>
      <c r="BS163" s="46"/>
      <c r="BT163" s="46"/>
      <c r="BU163" s="47"/>
      <c r="BV163" s="496" t="s">
        <v>815</v>
      </c>
      <c r="BW163" s="49"/>
      <c r="BX163" s="49"/>
      <c r="BY163" s="49"/>
      <c r="BZ163" s="50"/>
      <c r="CA163" s="497">
        <f>MOD(INT((INT((INT(CC181/3)+CC183)/3)+CC185)/3+CC187),3)</f>
        <v>0</v>
      </c>
      <c r="CB163" s="49"/>
      <c r="CC163" s="49"/>
      <c r="CD163" s="50"/>
      <c r="CE163" s="505" t="s">
        <v>816</v>
      </c>
      <c r="CF163" s="49"/>
      <c r="CG163" s="49"/>
      <c r="CH163" s="49"/>
      <c r="CI163" s="49"/>
      <c r="CJ163" s="49"/>
      <c r="CK163" s="49"/>
      <c r="CL163" s="49"/>
      <c r="CM163" s="49"/>
      <c r="CN163" s="50"/>
      <c r="CO163" s="43"/>
      <c r="CP163" s="508" t="s">
        <v>816</v>
      </c>
      <c r="CQ163" s="49"/>
      <c r="CR163" s="49"/>
      <c r="CS163" s="49"/>
      <c r="CT163" s="49"/>
      <c r="CU163" s="49"/>
      <c r="CV163" s="49"/>
      <c r="CW163" s="49"/>
      <c r="CX163" s="49"/>
      <c r="CY163" s="50"/>
      <c r="CZ163" s="501" t="s">
        <v>450</v>
      </c>
      <c r="DB163" s="510">
        <f t="shared" si="31"/>
        <v>2</v>
      </c>
      <c r="DD163" s="510">
        <f t="shared" si="32"/>
        <v>0</v>
      </c>
      <c r="DF163" s="510">
        <f t="shared" si="33"/>
        <v>2</v>
      </c>
      <c r="DH163" s="510"/>
      <c r="DJ163" s="503"/>
      <c r="DK163" s="53"/>
      <c r="DL163" s="128"/>
      <c r="DM163" s="43"/>
      <c r="DN163" s="43"/>
      <c r="DO163" s="43"/>
      <c r="DP163" s="43"/>
      <c r="DQ163" s="43"/>
      <c r="DR163" s="43"/>
      <c r="DS163" s="43"/>
      <c r="DT163" s="43"/>
      <c r="DU163" s="43"/>
      <c r="DV163" s="43"/>
      <c r="DW163" s="43"/>
      <c r="DX163" s="43"/>
      <c r="DY163" s="43"/>
      <c r="DZ163" s="43"/>
      <c r="EA163" s="43"/>
      <c r="EB163" s="43"/>
      <c r="EC163" s="43"/>
      <c r="ED163" s="43"/>
      <c r="EE163" s="43"/>
      <c r="EF163" s="43"/>
      <c r="EG163" s="43"/>
      <c r="EH163" s="43"/>
      <c r="EI163" s="43"/>
      <c r="EJ163" s="43"/>
      <c r="EK163" s="43"/>
      <c r="EL163" s="43"/>
      <c r="EM163" s="43"/>
      <c r="EN163" s="43"/>
      <c r="EO163" s="43"/>
      <c r="EP163" s="43"/>
      <c r="EQ163" s="43"/>
      <c r="ER163" s="43"/>
      <c r="ES163" s="43"/>
      <c r="ET163" s="43"/>
      <c r="EU163" s="43"/>
      <c r="EV163" s="43"/>
      <c r="EW163" s="43"/>
      <c r="EX163" s="43"/>
      <c r="EY163" s="43"/>
      <c r="EZ163" s="43"/>
      <c r="FA163" s="43"/>
      <c r="FB163" s="43"/>
      <c r="FC163" s="43"/>
      <c r="FD163" s="43"/>
      <c r="FE163" s="43"/>
      <c r="FF163" s="43"/>
      <c r="FG163" s="43"/>
      <c r="FH163" s="43"/>
      <c r="FI163" s="43"/>
      <c r="FJ163" s="43"/>
      <c r="FK163" s="43"/>
      <c r="FL163" s="43"/>
      <c r="FM163" s="43"/>
      <c r="FN163" s="43"/>
      <c r="FO163" s="43"/>
      <c r="FP163" s="43"/>
      <c r="FQ163" s="43"/>
      <c r="FR163" s="43"/>
      <c r="FS163" s="43"/>
      <c r="FT163" s="43"/>
      <c r="FU163" s="43"/>
      <c r="FV163" s="43"/>
      <c r="FW163" s="43"/>
      <c r="FX163" s="43"/>
      <c r="FY163" s="43"/>
      <c r="FZ163" s="43"/>
      <c r="GA163" s="43"/>
      <c r="GB163" s="43"/>
      <c r="GC163" s="43"/>
      <c r="GD163" s="43"/>
      <c r="GE163" s="43"/>
      <c r="GF163" s="43"/>
      <c r="GG163" s="43"/>
      <c r="GH163" s="43"/>
      <c r="GI163" s="43"/>
      <c r="GJ163" s="43"/>
      <c r="GK163" s="43"/>
      <c r="GL163" s="43"/>
      <c r="GM163" s="43"/>
      <c r="GN163" s="43"/>
      <c r="GO163" s="43"/>
      <c r="GP163" s="43"/>
      <c r="GQ163" s="43"/>
      <c r="GR163" s="43"/>
      <c r="GS163" s="43"/>
      <c r="GT163" s="43"/>
      <c r="GU163" s="43"/>
      <c r="GV163" s="43"/>
      <c r="GW163" s="43"/>
    </row>
    <row r="164" ht="15.0" customHeight="1">
      <c r="A164" s="318"/>
      <c r="B164" s="504"/>
      <c r="C164" s="46"/>
      <c r="D164" s="46"/>
      <c r="E164" s="46"/>
      <c r="F164" s="46"/>
      <c r="G164" s="46"/>
      <c r="H164" s="46"/>
      <c r="I164" s="46"/>
      <c r="J164" s="46"/>
      <c r="K164" s="46"/>
      <c r="L164" s="46"/>
      <c r="M164" s="47"/>
      <c r="N164" s="91"/>
      <c r="O164" s="46"/>
      <c r="P164" s="46"/>
      <c r="Q164" s="47"/>
      <c r="R164" s="90"/>
      <c r="S164" s="46"/>
      <c r="T164" s="46"/>
      <c r="U164" s="47"/>
      <c r="V164" s="90"/>
      <c r="W164" s="46"/>
      <c r="X164" s="46"/>
      <c r="Y164" s="47"/>
      <c r="Z164" s="91"/>
      <c r="AA164" s="46"/>
      <c r="AB164" s="46"/>
      <c r="AC164" s="47"/>
      <c r="AD164" s="91"/>
      <c r="AE164" s="46"/>
      <c r="AF164" s="46"/>
      <c r="AG164" s="46"/>
      <c r="AH164" s="46"/>
      <c r="AI164" s="46"/>
      <c r="AJ164" s="46"/>
      <c r="AK164" s="47"/>
      <c r="AL164" s="127"/>
      <c r="AM164" s="46"/>
      <c r="AN164" s="46"/>
      <c r="AO164" s="46"/>
      <c r="AP164" s="46"/>
      <c r="AQ164" s="46"/>
      <c r="AR164" s="46"/>
      <c r="AS164" s="46"/>
      <c r="AT164" s="46"/>
      <c r="AU164" s="46"/>
      <c r="AV164" s="46"/>
      <c r="AW164" s="47"/>
      <c r="AX164" s="127"/>
      <c r="AY164" s="46"/>
      <c r="AZ164" s="46"/>
      <c r="BA164" s="47"/>
      <c r="BB164" s="127"/>
      <c r="BC164" s="46"/>
      <c r="BD164" s="46"/>
      <c r="BE164" s="47"/>
      <c r="BF164" s="127"/>
      <c r="BG164" s="46"/>
      <c r="BH164" s="46"/>
      <c r="BI164" s="47"/>
      <c r="BJ164" s="127"/>
      <c r="BK164" s="46"/>
      <c r="BL164" s="46"/>
      <c r="BM164" s="47"/>
      <c r="BN164" s="127"/>
      <c r="BO164" s="46"/>
      <c r="BP164" s="46"/>
      <c r="BQ164" s="46"/>
      <c r="BR164" s="46"/>
      <c r="BS164" s="46"/>
      <c r="BT164" s="46"/>
      <c r="BU164" s="47"/>
      <c r="BV164" s="70"/>
      <c r="BW164" s="57"/>
      <c r="BX164" s="57"/>
      <c r="BY164" s="57"/>
      <c r="BZ164" s="58"/>
      <c r="CA164" s="70"/>
      <c r="CB164" s="57"/>
      <c r="CC164" s="57"/>
      <c r="CD164" s="58"/>
      <c r="CE164" s="70"/>
      <c r="CF164" s="57"/>
      <c r="CG164" s="57"/>
      <c r="CH164" s="57"/>
      <c r="CI164" s="57"/>
      <c r="CJ164" s="57"/>
      <c r="CK164" s="57"/>
      <c r="CL164" s="57"/>
      <c r="CM164" s="57"/>
      <c r="CN164" s="58"/>
      <c r="CO164" s="43"/>
      <c r="CP164" s="57"/>
      <c r="CQ164" s="57"/>
      <c r="CR164" s="57"/>
      <c r="CS164" s="57"/>
      <c r="CT164" s="57"/>
      <c r="CU164" s="57"/>
      <c r="CV164" s="57"/>
      <c r="CW164" s="57"/>
      <c r="CX164" s="57"/>
      <c r="CY164" s="58"/>
      <c r="CZ164" s="501" t="s">
        <v>6</v>
      </c>
      <c r="DB164" s="502"/>
      <c r="DD164" s="502"/>
      <c r="DF164" s="502"/>
      <c r="DH164" s="510"/>
      <c r="DJ164" s="503"/>
      <c r="DK164" s="53"/>
      <c r="DL164" s="514"/>
      <c r="DM164" s="43"/>
      <c r="DN164" s="43"/>
      <c r="DO164" s="43"/>
      <c r="DP164" s="43"/>
      <c r="DQ164" s="43"/>
      <c r="DR164" s="43"/>
      <c r="DS164" s="43"/>
      <c r="DT164" s="43"/>
      <c r="DU164" s="43"/>
      <c r="DV164" s="43"/>
      <c r="DW164" s="43"/>
      <c r="DX164" s="43"/>
      <c r="DY164" s="43"/>
      <c r="DZ164" s="43"/>
      <c r="EA164" s="43"/>
      <c r="EB164" s="43"/>
      <c r="EC164" s="43"/>
      <c r="ED164" s="43"/>
      <c r="EE164" s="43"/>
      <c r="EF164" s="43"/>
      <c r="EG164" s="43"/>
      <c r="EH164" s="43"/>
      <c r="EI164" s="43"/>
      <c r="EJ164" s="43"/>
      <c r="EK164" s="43"/>
      <c r="EL164" s="43"/>
      <c r="EM164" s="43"/>
      <c r="EN164" s="43"/>
      <c r="EO164" s="43"/>
      <c r="EP164" s="43"/>
      <c r="EQ164" s="43"/>
      <c r="ER164" s="43"/>
      <c r="ES164" s="43"/>
      <c r="ET164" s="43"/>
      <c r="EU164" s="43"/>
      <c r="EV164" s="43"/>
      <c r="EW164" s="43"/>
      <c r="EX164" s="43"/>
      <c r="EY164" s="43"/>
      <c r="EZ164" s="43"/>
      <c r="FA164" s="43"/>
      <c r="FB164" s="43"/>
      <c r="FC164" s="43"/>
      <c r="FD164" s="43"/>
      <c r="FE164" s="43"/>
      <c r="FF164" s="43"/>
      <c r="FG164" s="43"/>
      <c r="FH164" s="43"/>
      <c r="FI164" s="43"/>
      <c r="FJ164" s="43"/>
      <c r="FK164" s="43"/>
      <c r="FL164" s="43"/>
      <c r="FM164" s="43"/>
      <c r="FN164" s="43"/>
      <c r="FO164" s="43"/>
      <c r="FP164" s="43"/>
      <c r="FQ164" s="43"/>
      <c r="FR164" s="43"/>
      <c r="FS164" s="43"/>
      <c r="FT164" s="43"/>
      <c r="FU164" s="43"/>
      <c r="FV164" s="43"/>
      <c r="FW164" s="43"/>
      <c r="FX164" s="43"/>
      <c r="FY164" s="43"/>
      <c r="FZ164" s="43"/>
      <c r="GA164" s="43"/>
      <c r="GB164" s="43"/>
      <c r="GC164" s="43"/>
      <c r="GD164" s="43"/>
      <c r="GE164" s="43"/>
      <c r="GF164" s="43"/>
      <c r="GG164" s="43"/>
      <c r="GH164" s="43"/>
      <c r="GI164" s="43"/>
      <c r="GJ164" s="43"/>
      <c r="GK164" s="43"/>
      <c r="GL164" s="43"/>
      <c r="GM164" s="43"/>
      <c r="GN164" s="43"/>
      <c r="GO164" s="43"/>
      <c r="GP164" s="43"/>
      <c r="GQ164" s="43"/>
      <c r="GR164" s="43"/>
      <c r="GS164" s="43"/>
      <c r="GT164" s="43"/>
      <c r="GU164" s="43"/>
      <c r="GV164" s="43"/>
      <c r="GW164" s="43"/>
    </row>
    <row r="165" ht="15.0" customHeight="1">
      <c r="A165" s="318"/>
      <c r="B165" s="504"/>
      <c r="C165" s="46"/>
      <c r="D165" s="46"/>
      <c r="E165" s="46"/>
      <c r="F165" s="46"/>
      <c r="G165" s="46"/>
      <c r="H165" s="46"/>
      <c r="I165" s="46"/>
      <c r="J165" s="46"/>
      <c r="K165" s="46"/>
      <c r="L165" s="46"/>
      <c r="M165" s="47"/>
      <c r="N165" s="91"/>
      <c r="O165" s="46"/>
      <c r="P165" s="46"/>
      <c r="Q165" s="47"/>
      <c r="R165" s="90"/>
      <c r="S165" s="46"/>
      <c r="T165" s="46"/>
      <c r="U165" s="47"/>
      <c r="V165" s="91"/>
      <c r="W165" s="46"/>
      <c r="X165" s="46"/>
      <c r="Y165" s="47"/>
      <c r="Z165" s="91"/>
      <c r="AA165" s="46"/>
      <c r="AB165" s="46"/>
      <c r="AC165" s="47"/>
      <c r="AD165" s="91"/>
      <c r="AE165" s="46"/>
      <c r="AF165" s="46"/>
      <c r="AG165" s="46"/>
      <c r="AH165" s="46"/>
      <c r="AI165" s="46"/>
      <c r="AJ165" s="46"/>
      <c r="AK165" s="47"/>
      <c r="AL165" s="127"/>
      <c r="AM165" s="46"/>
      <c r="AN165" s="46"/>
      <c r="AO165" s="46"/>
      <c r="AP165" s="46"/>
      <c r="AQ165" s="46"/>
      <c r="AR165" s="46"/>
      <c r="AS165" s="46"/>
      <c r="AT165" s="46"/>
      <c r="AU165" s="46"/>
      <c r="AV165" s="46"/>
      <c r="AW165" s="47"/>
      <c r="AX165" s="127"/>
      <c r="AY165" s="46"/>
      <c r="AZ165" s="46"/>
      <c r="BA165" s="47"/>
      <c r="BB165" s="127"/>
      <c r="BC165" s="46"/>
      <c r="BD165" s="46"/>
      <c r="BE165" s="47"/>
      <c r="BF165" s="127"/>
      <c r="BG165" s="46"/>
      <c r="BH165" s="46"/>
      <c r="BI165" s="47"/>
      <c r="BJ165" s="127"/>
      <c r="BK165" s="46"/>
      <c r="BL165" s="46"/>
      <c r="BM165" s="47"/>
      <c r="BN165" s="127"/>
      <c r="BO165" s="46"/>
      <c r="BP165" s="46"/>
      <c r="BQ165" s="46"/>
      <c r="BR165" s="46"/>
      <c r="BS165" s="46"/>
      <c r="BT165" s="46"/>
      <c r="BU165" s="47"/>
      <c r="BV165" s="496" t="s">
        <v>817</v>
      </c>
      <c r="BW165" s="49"/>
      <c r="BX165" s="49"/>
      <c r="BY165" s="49"/>
      <c r="BZ165" s="50"/>
      <c r="CA165" s="497">
        <f>INT((INT((INT((INT(CC181/3)+CC183)/3)+CC185)/3)+CC187)/3+CC189)</f>
        <v>0</v>
      </c>
      <c r="CB165" s="49"/>
      <c r="CC165" s="49"/>
      <c r="CD165" s="50"/>
      <c r="CE165" s="515" t="s">
        <v>365</v>
      </c>
      <c r="CF165" s="49"/>
      <c r="CG165" s="49"/>
      <c r="CH165" s="50"/>
      <c r="CI165" s="516">
        <f>_xlfn.IFS(CE165="XP",_xlfn.IFS((CK157&amp;""="TRUE"),_xlfn.IFS(
CL155=0,((((CK161-1)+CL155)*(CK161-CL155))*2+1),
CL155&gt;0,(((CK161-1)+CL155)*(CK161-CL155))*2),
CK159=0,((((CK161-1)+CK159)*(CK161-CK159))*2+1),
CK159&gt;0,(((CK161-1)+CK159)*(CK161-CK159))*2),
CE165="點數",_xlfn.IFS((CK157&amp;""="TRUE"),_xlfn.IFS(
CL155=0,((((CK161-1)+CL155)*(CK161-CL155))*100+100),
CL155&gt;0,(((CK161-1)+CL155)*(CK161-CL155))*100),
CK159=0,((((CK161-1)+CK159)*(CK161-CK159))*100+100),
CK159&gt;0,(((CK161-1)+CK159)*(CK161-CK159))*100))</f>
        <v>1400</v>
      </c>
      <c r="CJ165" s="49"/>
      <c r="CK165" s="49"/>
      <c r="CL165" s="49"/>
      <c r="CM165" s="49"/>
      <c r="CN165" s="50"/>
      <c r="CO165" s="43"/>
      <c r="CP165" s="508" t="s">
        <v>819</v>
      </c>
      <c r="CQ165" s="49"/>
      <c r="CR165" s="49"/>
      <c r="CS165" s="50"/>
      <c r="CT165" s="516">
        <f>_xlfn.IFS((CV157&amp;""="TRUE"),_xlfn.IFS(
CW155=0,((((CV161-1)+CW155)*(CV161-CW155))+1),
CW155&gt;0,(((CV161-1)+CW155)*(CV161-CW155))),
CV159=0,((((CV161-1)+CV159)*(CV161-CV159))+1),
CV159&gt;0,(((CV161-1)+CV159)*(CV161-CV159)))</f>
        <v>70</v>
      </c>
      <c r="CU165" s="49"/>
      <c r="CV165" s="49"/>
      <c r="CW165" s="49"/>
      <c r="CX165" s="49"/>
      <c r="CY165" s="50"/>
      <c r="CZ165" s="501" t="s">
        <v>474</v>
      </c>
      <c r="DB165" s="510">
        <f t="shared" ref="DB165:DB172" si="34">O30</f>
        <v>0</v>
      </c>
      <c r="DD165" s="510">
        <f t="shared" ref="DD165:DD172" si="35">S30</f>
        <v>-1</v>
      </c>
      <c r="DF165" s="510">
        <f t="shared" ref="DF165:DF172" si="36">G30+I30</f>
        <v>0</v>
      </c>
      <c r="DH165" s="502"/>
      <c r="DJ165" s="503"/>
      <c r="DK165" s="53"/>
      <c r="DL165" s="514"/>
      <c r="DM165" s="43"/>
      <c r="DN165" s="43"/>
      <c r="DO165" s="43"/>
      <c r="DP165" s="43"/>
      <c r="DQ165" s="43"/>
      <c r="DR165" s="43"/>
      <c r="DS165" s="43"/>
      <c r="DT165" s="43"/>
      <c r="DU165" s="43"/>
      <c r="DV165" s="43"/>
      <c r="DW165" s="43"/>
      <c r="DX165" s="43"/>
      <c r="DY165" s="43"/>
      <c r="DZ165" s="43"/>
      <c r="EA165" s="43"/>
      <c r="EB165" s="43"/>
      <c r="EC165" s="43"/>
      <c r="ED165" s="43"/>
      <c r="EE165" s="43"/>
      <c r="EF165" s="43"/>
      <c r="EG165" s="43"/>
      <c r="EH165" s="43"/>
      <c r="EI165" s="43"/>
      <c r="EJ165" s="43"/>
      <c r="EK165" s="43"/>
      <c r="EL165" s="43"/>
      <c r="EM165" s="43"/>
      <c r="EN165" s="43"/>
      <c r="EO165" s="43"/>
      <c r="EP165" s="43"/>
      <c r="EQ165" s="43"/>
      <c r="ER165" s="43"/>
      <c r="ES165" s="43"/>
      <c r="ET165" s="43"/>
      <c r="EU165" s="43"/>
      <c r="EV165" s="43"/>
      <c r="EW165" s="43"/>
      <c r="EX165" s="43"/>
      <c r="EY165" s="43"/>
      <c r="EZ165" s="43"/>
      <c r="FA165" s="43"/>
      <c r="FB165" s="43"/>
      <c r="FC165" s="43"/>
      <c r="FD165" s="43"/>
      <c r="FE165" s="43"/>
      <c r="FF165" s="43"/>
      <c r="FG165" s="43"/>
      <c r="FH165" s="43"/>
      <c r="FI165" s="43"/>
      <c r="FJ165" s="43"/>
      <c r="FK165" s="43"/>
      <c r="FL165" s="43"/>
      <c r="FM165" s="43"/>
      <c r="FN165" s="43"/>
      <c r="FO165" s="43"/>
      <c r="FP165" s="43"/>
      <c r="FQ165" s="43"/>
      <c r="FR165" s="43"/>
      <c r="FS165" s="43"/>
      <c r="FT165" s="43"/>
      <c r="FU165" s="43"/>
      <c r="FV165" s="43"/>
      <c r="FW165" s="43"/>
      <c r="FX165" s="43"/>
      <c r="FY165" s="43"/>
      <c r="FZ165" s="43"/>
      <c r="GA165" s="43"/>
      <c r="GB165" s="43"/>
      <c r="GC165" s="43"/>
      <c r="GD165" s="43"/>
      <c r="GE165" s="43"/>
      <c r="GF165" s="43"/>
      <c r="GG165" s="43"/>
      <c r="GH165" s="43"/>
      <c r="GI165" s="43"/>
      <c r="GJ165" s="43"/>
      <c r="GK165" s="43"/>
      <c r="GL165" s="43"/>
      <c r="GM165" s="43"/>
      <c r="GN165" s="43"/>
      <c r="GO165" s="43"/>
      <c r="GP165" s="43"/>
      <c r="GQ165" s="43"/>
      <c r="GR165" s="43"/>
      <c r="GS165" s="43"/>
      <c r="GT165" s="43"/>
      <c r="GU165" s="43"/>
      <c r="GV165" s="43"/>
      <c r="GW165" s="43"/>
    </row>
    <row r="166" ht="15.0" customHeight="1">
      <c r="A166" s="318"/>
      <c r="B166" s="504"/>
      <c r="C166" s="46"/>
      <c r="D166" s="46"/>
      <c r="E166" s="46"/>
      <c r="F166" s="46"/>
      <c r="G166" s="46"/>
      <c r="H166" s="46"/>
      <c r="I166" s="46"/>
      <c r="J166" s="46"/>
      <c r="K166" s="46"/>
      <c r="L166" s="46"/>
      <c r="M166" s="47"/>
      <c r="N166" s="91"/>
      <c r="O166" s="46"/>
      <c r="P166" s="46"/>
      <c r="Q166" s="47"/>
      <c r="R166" s="90"/>
      <c r="S166" s="46"/>
      <c r="T166" s="46"/>
      <c r="U166" s="47"/>
      <c r="V166" s="91"/>
      <c r="W166" s="46"/>
      <c r="X166" s="46"/>
      <c r="Y166" s="47"/>
      <c r="Z166" s="91"/>
      <c r="AA166" s="46"/>
      <c r="AB166" s="46"/>
      <c r="AC166" s="47"/>
      <c r="AD166" s="91"/>
      <c r="AE166" s="46"/>
      <c r="AF166" s="46"/>
      <c r="AG166" s="46"/>
      <c r="AH166" s="46"/>
      <c r="AI166" s="46"/>
      <c r="AJ166" s="46"/>
      <c r="AK166" s="47"/>
      <c r="AL166" s="127"/>
      <c r="AM166" s="46"/>
      <c r="AN166" s="46"/>
      <c r="AO166" s="46"/>
      <c r="AP166" s="46"/>
      <c r="AQ166" s="46"/>
      <c r="AR166" s="46"/>
      <c r="AS166" s="46"/>
      <c r="AT166" s="46"/>
      <c r="AU166" s="46"/>
      <c r="AV166" s="46"/>
      <c r="AW166" s="47"/>
      <c r="AX166" s="127"/>
      <c r="AY166" s="46"/>
      <c r="AZ166" s="46"/>
      <c r="BA166" s="47"/>
      <c r="BB166" s="127"/>
      <c r="BC166" s="46"/>
      <c r="BD166" s="46"/>
      <c r="BE166" s="47"/>
      <c r="BF166" s="127"/>
      <c r="BG166" s="46"/>
      <c r="BH166" s="46"/>
      <c r="BI166" s="47"/>
      <c r="BJ166" s="127"/>
      <c r="BK166" s="46"/>
      <c r="BL166" s="46"/>
      <c r="BM166" s="47"/>
      <c r="BN166" s="127"/>
      <c r="BO166" s="46"/>
      <c r="BP166" s="46"/>
      <c r="BQ166" s="46"/>
      <c r="BR166" s="46"/>
      <c r="BS166" s="46"/>
      <c r="BT166" s="46"/>
      <c r="BU166" s="47"/>
      <c r="BV166" s="70"/>
      <c r="BW166" s="57"/>
      <c r="BX166" s="57"/>
      <c r="BY166" s="57"/>
      <c r="BZ166" s="58"/>
      <c r="CA166" s="70"/>
      <c r="CB166" s="57"/>
      <c r="CC166" s="57"/>
      <c r="CD166" s="58"/>
      <c r="CE166" s="70"/>
      <c r="CF166" s="57"/>
      <c r="CG166" s="57"/>
      <c r="CH166" s="58"/>
      <c r="CI166" s="70"/>
      <c r="CJ166" s="57"/>
      <c r="CK166" s="57"/>
      <c r="CL166" s="57"/>
      <c r="CM166" s="57"/>
      <c r="CN166" s="58"/>
      <c r="CO166" s="43"/>
      <c r="CP166" s="57"/>
      <c r="CQ166" s="57"/>
      <c r="CR166" s="57"/>
      <c r="CS166" s="58"/>
      <c r="CT166" s="70"/>
      <c r="CU166" s="57"/>
      <c r="CV166" s="57"/>
      <c r="CW166" s="57"/>
      <c r="CX166" s="57"/>
      <c r="CY166" s="58"/>
      <c r="CZ166" s="501" t="s">
        <v>487</v>
      </c>
      <c r="DB166" s="510">
        <f t="shared" si="34"/>
        <v>0</v>
      </c>
      <c r="DD166" s="510">
        <f t="shared" si="35"/>
        <v>-1</v>
      </c>
      <c r="DF166" s="510">
        <f t="shared" si="36"/>
        <v>0</v>
      </c>
      <c r="DH166" s="510"/>
      <c r="DJ166" s="503"/>
      <c r="DK166" s="53"/>
      <c r="DL166" s="43"/>
      <c r="DM166" s="43"/>
      <c r="DN166" s="43"/>
      <c r="DO166" s="43"/>
      <c r="DP166" s="43"/>
      <c r="DQ166" s="43"/>
      <c r="DR166" s="43"/>
      <c r="DS166" s="43"/>
      <c r="DT166" s="43"/>
      <c r="DU166" s="43"/>
      <c r="DV166" s="43"/>
      <c r="DW166" s="43"/>
      <c r="DX166" s="43"/>
      <c r="DY166" s="43"/>
      <c r="DZ166" s="43"/>
      <c r="EA166" s="43"/>
      <c r="EB166" s="43"/>
      <c r="EC166" s="43"/>
      <c r="ED166" s="43"/>
      <c r="EE166" s="43"/>
      <c r="EF166" s="43"/>
      <c r="EG166" s="43"/>
      <c r="EH166" s="43"/>
      <c r="EI166" s="43"/>
      <c r="EJ166" s="43"/>
      <c r="EK166" s="43"/>
      <c r="EL166" s="43"/>
      <c r="EM166" s="43"/>
      <c r="EN166" s="43"/>
      <c r="EO166" s="43"/>
      <c r="EP166" s="43"/>
      <c r="EQ166" s="43"/>
      <c r="ER166" s="43"/>
      <c r="ES166" s="43"/>
      <c r="ET166" s="43"/>
      <c r="EU166" s="43"/>
      <c r="EV166" s="43"/>
      <c r="EW166" s="43"/>
      <c r="EX166" s="43"/>
      <c r="EY166" s="43"/>
      <c r="EZ166" s="43"/>
      <c r="FA166" s="43"/>
      <c r="FB166" s="43"/>
      <c r="FC166" s="43"/>
      <c r="FD166" s="43"/>
      <c r="FE166" s="43"/>
      <c r="FF166" s="43"/>
      <c r="FG166" s="43"/>
      <c r="FH166" s="43"/>
      <c r="FI166" s="43"/>
      <c r="FJ166" s="43"/>
      <c r="FK166" s="43"/>
      <c r="FL166" s="43"/>
      <c r="FM166" s="43"/>
      <c r="FN166" s="43"/>
      <c r="FO166" s="43"/>
      <c r="FP166" s="43"/>
      <c r="FQ166" s="43"/>
      <c r="FR166" s="43"/>
      <c r="FS166" s="43"/>
      <c r="FT166" s="43"/>
      <c r="FU166" s="43"/>
      <c r="FV166" s="43"/>
      <c r="FW166" s="43"/>
      <c r="FX166" s="43"/>
      <c r="FY166" s="43"/>
      <c r="FZ166" s="43"/>
      <c r="GA166" s="43"/>
      <c r="GB166" s="43"/>
      <c r="GC166" s="43"/>
      <c r="GD166" s="43"/>
      <c r="GE166" s="43"/>
      <c r="GF166" s="43"/>
      <c r="GG166" s="43"/>
      <c r="GH166" s="43"/>
      <c r="GI166" s="43"/>
      <c r="GJ166" s="43"/>
      <c r="GK166" s="43"/>
      <c r="GL166" s="43"/>
      <c r="GM166" s="43"/>
      <c r="GN166" s="43"/>
      <c r="GO166" s="43"/>
      <c r="GP166" s="43"/>
      <c r="GQ166" s="43"/>
      <c r="GR166" s="43"/>
      <c r="GS166" s="43"/>
      <c r="GT166" s="43"/>
      <c r="GU166" s="43"/>
      <c r="GV166" s="43"/>
      <c r="GW166" s="43"/>
    </row>
    <row r="167" ht="15.0" customHeight="1">
      <c r="A167" s="318"/>
      <c r="B167" s="504"/>
      <c r="C167" s="46"/>
      <c r="D167" s="46"/>
      <c r="E167" s="46"/>
      <c r="F167" s="46"/>
      <c r="G167" s="46"/>
      <c r="H167" s="46"/>
      <c r="I167" s="46"/>
      <c r="J167" s="46"/>
      <c r="K167" s="46"/>
      <c r="L167" s="46"/>
      <c r="M167" s="47"/>
      <c r="N167" s="91"/>
      <c r="O167" s="46"/>
      <c r="P167" s="46"/>
      <c r="Q167" s="47"/>
      <c r="R167" s="90"/>
      <c r="S167" s="46"/>
      <c r="T167" s="46"/>
      <c r="U167" s="47"/>
      <c r="V167" s="90"/>
      <c r="W167" s="46"/>
      <c r="X167" s="46"/>
      <c r="Y167" s="47"/>
      <c r="Z167" s="91"/>
      <c r="AA167" s="46"/>
      <c r="AB167" s="46"/>
      <c r="AC167" s="47"/>
      <c r="AD167" s="91"/>
      <c r="AE167" s="46"/>
      <c r="AF167" s="46"/>
      <c r="AG167" s="46"/>
      <c r="AH167" s="46"/>
      <c r="AI167" s="46"/>
      <c r="AJ167" s="46"/>
      <c r="AK167" s="47"/>
      <c r="AL167" s="127"/>
      <c r="AM167" s="46"/>
      <c r="AN167" s="46"/>
      <c r="AO167" s="46"/>
      <c r="AP167" s="46"/>
      <c r="AQ167" s="46"/>
      <c r="AR167" s="46"/>
      <c r="AS167" s="46"/>
      <c r="AT167" s="46"/>
      <c r="AU167" s="46"/>
      <c r="AV167" s="46"/>
      <c r="AW167" s="47"/>
      <c r="AX167" s="127"/>
      <c r="AY167" s="46"/>
      <c r="AZ167" s="46"/>
      <c r="BA167" s="47"/>
      <c r="BB167" s="127"/>
      <c r="BC167" s="46"/>
      <c r="BD167" s="46"/>
      <c r="BE167" s="47"/>
      <c r="BF167" s="127"/>
      <c r="BG167" s="46"/>
      <c r="BH167" s="46"/>
      <c r="BI167" s="47"/>
      <c r="BJ167" s="127"/>
      <c r="BK167" s="46"/>
      <c r="BL167" s="46"/>
      <c r="BM167" s="47"/>
      <c r="BN167" s="127"/>
      <c r="BO167" s="46"/>
      <c r="BP167" s="46"/>
      <c r="BQ167" s="46"/>
      <c r="BR167" s="46"/>
      <c r="BS167" s="46"/>
      <c r="BT167" s="46"/>
      <c r="BU167" s="47"/>
      <c r="BV167" s="43"/>
      <c r="BW167" s="43"/>
      <c r="BX167" s="43"/>
      <c r="BY167" s="43"/>
      <c r="BZ167" s="43"/>
      <c r="CA167" s="43"/>
      <c r="CB167" s="43"/>
      <c r="CC167" s="43"/>
      <c r="CD167" s="500"/>
      <c r="CE167" s="102"/>
      <c r="CF167" s="43"/>
      <c r="CG167" s="43"/>
      <c r="CH167" s="43"/>
      <c r="CI167" s="43"/>
      <c r="CJ167" s="43"/>
      <c r="CK167" s="43"/>
      <c r="CL167" s="43"/>
      <c r="CM167" s="43"/>
      <c r="CN167" s="43"/>
      <c r="CO167" s="43"/>
      <c r="CP167" s="43"/>
      <c r="CQ167" s="43"/>
      <c r="CR167" s="43"/>
      <c r="CS167" s="517"/>
      <c r="CT167" s="517"/>
      <c r="CU167" s="43"/>
      <c r="CV167" s="43"/>
      <c r="CW167" s="43"/>
      <c r="CX167" s="43"/>
      <c r="CY167" s="500"/>
      <c r="CZ167" s="501" t="s">
        <v>491</v>
      </c>
      <c r="DB167" s="510">
        <f t="shared" si="34"/>
        <v>0</v>
      </c>
      <c r="DD167" s="510">
        <f t="shared" si="35"/>
        <v>-1</v>
      </c>
      <c r="DF167" s="510">
        <f t="shared" si="36"/>
        <v>0</v>
      </c>
      <c r="DH167" s="510"/>
      <c r="DJ167" s="503"/>
      <c r="DK167" s="53"/>
      <c r="DL167" s="128"/>
      <c r="DM167" s="43"/>
      <c r="DN167" s="43"/>
      <c r="DO167" s="43"/>
      <c r="DP167" s="43"/>
      <c r="DQ167" s="43"/>
      <c r="DR167" s="43"/>
      <c r="DS167" s="43"/>
      <c r="DT167" s="43"/>
      <c r="DU167" s="43"/>
      <c r="DV167" s="43"/>
      <c r="DW167" s="43"/>
      <c r="DX167" s="43"/>
      <c r="DY167" s="43"/>
      <c r="DZ167" s="43"/>
      <c r="EA167" s="43"/>
      <c r="EB167" s="43"/>
      <c r="EC167" s="43"/>
      <c r="ED167" s="43"/>
      <c r="EE167" s="43"/>
      <c r="EF167" s="43"/>
      <c r="EG167" s="43"/>
      <c r="EH167" s="43"/>
      <c r="EI167" s="43"/>
      <c r="EJ167" s="43"/>
      <c r="EK167" s="43"/>
      <c r="EL167" s="43"/>
      <c r="EM167" s="43"/>
      <c r="EN167" s="43"/>
      <c r="EO167" s="43"/>
      <c r="EP167" s="43"/>
      <c r="EQ167" s="43"/>
      <c r="ER167" s="43"/>
      <c r="ES167" s="43"/>
      <c r="ET167" s="43"/>
      <c r="EU167" s="43"/>
      <c r="EV167" s="43"/>
      <c r="EW167" s="43"/>
      <c r="EX167" s="43"/>
      <c r="EY167" s="43"/>
      <c r="EZ167" s="43"/>
      <c r="FA167" s="43"/>
      <c r="FB167" s="43"/>
      <c r="FC167" s="43"/>
      <c r="FD167" s="43"/>
      <c r="FE167" s="43"/>
      <c r="FF167" s="43"/>
      <c r="FG167" s="43"/>
      <c r="FH167" s="43"/>
      <c r="FI167" s="43"/>
      <c r="FJ167" s="43"/>
      <c r="FK167" s="43"/>
      <c r="FL167" s="43"/>
      <c r="FM167" s="43"/>
      <c r="FN167" s="43"/>
      <c r="FO167" s="43"/>
      <c r="FP167" s="43"/>
      <c r="FQ167" s="43"/>
      <c r="FR167" s="43"/>
      <c r="FS167" s="43"/>
      <c r="FT167" s="43"/>
      <c r="FU167" s="43"/>
      <c r="FV167" s="43"/>
      <c r="FW167" s="43"/>
      <c r="FX167" s="43"/>
      <c r="FY167" s="43"/>
      <c r="FZ167" s="43"/>
      <c r="GA167" s="43"/>
      <c r="GB167" s="43"/>
      <c r="GC167" s="43"/>
      <c r="GD167" s="43"/>
      <c r="GE167" s="43"/>
      <c r="GF167" s="43"/>
      <c r="GG167" s="43"/>
      <c r="GH167" s="43"/>
      <c r="GI167" s="43"/>
      <c r="GJ167" s="43"/>
      <c r="GK167" s="43"/>
      <c r="GL167" s="43"/>
      <c r="GM167" s="43"/>
      <c r="GN167" s="43"/>
      <c r="GO167" s="43"/>
      <c r="GP167" s="43"/>
      <c r="GQ167" s="43"/>
      <c r="GR167" s="43"/>
      <c r="GS167" s="43"/>
      <c r="GT167" s="43"/>
      <c r="GU167" s="43"/>
      <c r="GV167" s="43"/>
      <c r="GW167" s="43"/>
    </row>
    <row r="168" ht="15.0" customHeight="1">
      <c r="A168" s="318"/>
      <c r="B168" s="504"/>
      <c r="C168" s="46"/>
      <c r="D168" s="46"/>
      <c r="E168" s="46"/>
      <c r="F168" s="46"/>
      <c r="G168" s="46"/>
      <c r="H168" s="46"/>
      <c r="I168" s="46"/>
      <c r="J168" s="46"/>
      <c r="K168" s="46"/>
      <c r="L168" s="46"/>
      <c r="M168" s="47"/>
      <c r="N168" s="91"/>
      <c r="O168" s="46"/>
      <c r="P168" s="46"/>
      <c r="Q168" s="47"/>
      <c r="R168" s="90"/>
      <c r="S168" s="46"/>
      <c r="T168" s="46"/>
      <c r="U168" s="47"/>
      <c r="V168" s="91"/>
      <c r="W168" s="46"/>
      <c r="X168" s="46"/>
      <c r="Y168" s="47"/>
      <c r="Z168" s="90"/>
      <c r="AA168" s="46"/>
      <c r="AB168" s="46"/>
      <c r="AC168" s="47"/>
      <c r="AD168" s="91"/>
      <c r="AE168" s="46"/>
      <c r="AF168" s="46"/>
      <c r="AG168" s="46"/>
      <c r="AH168" s="46"/>
      <c r="AI168" s="46"/>
      <c r="AJ168" s="46"/>
      <c r="AK168" s="47"/>
      <c r="AL168" s="127"/>
      <c r="AM168" s="46"/>
      <c r="AN168" s="46"/>
      <c r="AO168" s="46"/>
      <c r="AP168" s="46"/>
      <c r="AQ168" s="46"/>
      <c r="AR168" s="46"/>
      <c r="AS168" s="46"/>
      <c r="AT168" s="46"/>
      <c r="AU168" s="46"/>
      <c r="AV168" s="46"/>
      <c r="AW168" s="47"/>
      <c r="AX168" s="127"/>
      <c r="AY168" s="46"/>
      <c r="AZ168" s="46"/>
      <c r="BA168" s="47"/>
      <c r="BB168" s="127"/>
      <c r="BC168" s="46"/>
      <c r="BD168" s="46"/>
      <c r="BE168" s="47"/>
      <c r="BF168" s="127"/>
      <c r="BG168" s="46"/>
      <c r="BH168" s="46"/>
      <c r="BI168" s="47"/>
      <c r="BJ168" s="127"/>
      <c r="BK168" s="46"/>
      <c r="BL168" s="46"/>
      <c r="BM168" s="47"/>
      <c r="BN168" s="127"/>
      <c r="BO168" s="46"/>
      <c r="BP168" s="46"/>
      <c r="BQ168" s="46"/>
      <c r="BR168" s="46"/>
      <c r="BS168" s="46"/>
      <c r="BT168" s="46"/>
      <c r="BU168" s="47"/>
      <c r="BV168" s="43"/>
      <c r="BW168" s="43"/>
      <c r="BX168" s="43"/>
      <c r="BY168" s="43"/>
      <c r="BZ168" s="43"/>
      <c r="CA168" s="43"/>
      <c r="CB168" s="43"/>
      <c r="CC168" s="43"/>
      <c r="CD168" s="500"/>
      <c r="CE168" s="498" t="s">
        <v>821</v>
      </c>
      <c r="CF168" s="49"/>
      <c r="CG168" s="49"/>
      <c r="CH168" s="49"/>
      <c r="CI168" s="49"/>
      <c r="CJ168" s="49"/>
      <c r="CK168" s="49"/>
      <c r="CL168" s="49"/>
      <c r="CM168" s="49"/>
      <c r="CN168" s="50"/>
      <c r="CO168" s="43"/>
      <c r="CP168" s="499" t="s">
        <v>822</v>
      </c>
      <c r="CQ168" s="49"/>
      <c r="CR168" s="49"/>
      <c r="CS168" s="49"/>
      <c r="CT168" s="49"/>
      <c r="CU168" s="49"/>
      <c r="CV168" s="49"/>
      <c r="CW168" s="49"/>
      <c r="CX168" s="49"/>
      <c r="CY168" s="50"/>
      <c r="CZ168" s="501" t="s">
        <v>496</v>
      </c>
      <c r="DB168" s="510">
        <f t="shared" si="34"/>
        <v>0</v>
      </c>
      <c r="DD168" s="510">
        <f t="shared" si="35"/>
        <v>-1</v>
      </c>
      <c r="DF168" s="510">
        <f t="shared" si="36"/>
        <v>0</v>
      </c>
      <c r="DH168" s="510"/>
      <c r="DJ168" s="503"/>
      <c r="DK168" s="53"/>
      <c r="DL168" s="43"/>
      <c r="DM168" s="43"/>
      <c r="DN168" s="43"/>
      <c r="DO168" s="43"/>
      <c r="DP168" s="43"/>
      <c r="DQ168" s="43"/>
      <c r="DR168" s="43"/>
      <c r="DS168" s="43"/>
      <c r="DT168" s="43"/>
      <c r="DU168" s="43"/>
      <c r="DV168" s="43"/>
      <c r="DW168" s="43"/>
      <c r="DX168" s="43"/>
      <c r="DY168" s="43"/>
      <c r="DZ168" s="43"/>
      <c r="EA168" s="43"/>
      <c r="EB168" s="43"/>
      <c r="EC168" s="43"/>
      <c r="ED168" s="43"/>
      <c r="EE168" s="43"/>
      <c r="EF168" s="43"/>
      <c r="EG168" s="43"/>
      <c r="EH168" s="43"/>
      <c r="EI168" s="43"/>
      <c r="EJ168" s="43"/>
      <c r="EK168" s="43"/>
      <c r="EL168" s="43"/>
      <c r="EM168" s="43"/>
      <c r="EN168" s="43"/>
      <c r="EO168" s="43"/>
      <c r="EP168" s="43"/>
      <c r="EQ168" s="43"/>
      <c r="ER168" s="43"/>
      <c r="ES168" s="43"/>
      <c r="ET168" s="43"/>
      <c r="EU168" s="43"/>
      <c r="EV168" s="43"/>
      <c r="EW168" s="43"/>
      <c r="EX168" s="43"/>
      <c r="EY168" s="43"/>
      <c r="EZ168" s="43"/>
      <c r="FA168" s="43"/>
      <c r="FB168" s="43"/>
      <c r="FC168" s="43"/>
      <c r="FD168" s="43"/>
      <c r="FE168" s="43"/>
      <c r="FF168" s="43"/>
      <c r="FG168" s="43"/>
      <c r="FH168" s="43"/>
      <c r="FI168" s="43"/>
      <c r="FJ168" s="43"/>
      <c r="FK168" s="43"/>
      <c r="FL168" s="43"/>
      <c r="FM168" s="43"/>
      <c r="FN168" s="43"/>
      <c r="FO168" s="43"/>
      <c r="FP168" s="43"/>
      <c r="FQ168" s="43"/>
      <c r="FR168" s="43"/>
      <c r="FS168" s="43"/>
      <c r="FT168" s="43"/>
      <c r="FU168" s="43"/>
      <c r="FV168" s="43"/>
      <c r="FW168" s="43"/>
      <c r="FX168" s="43"/>
      <c r="FY168" s="43"/>
      <c r="FZ168" s="43"/>
      <c r="GA168" s="43"/>
      <c r="GB168" s="43"/>
      <c r="GC168" s="43"/>
      <c r="GD168" s="43"/>
      <c r="GE168" s="43"/>
      <c r="GF168" s="43"/>
      <c r="GG168" s="43"/>
      <c r="GH168" s="43"/>
      <c r="GI168" s="43"/>
      <c r="GJ168" s="43"/>
      <c r="GK168" s="43"/>
      <c r="GL168" s="43"/>
      <c r="GM168" s="43"/>
      <c r="GN168" s="43"/>
      <c r="GO168" s="43"/>
      <c r="GP168" s="43"/>
      <c r="GQ168" s="43"/>
      <c r="GR168" s="43"/>
      <c r="GS168" s="43"/>
      <c r="GT168" s="43"/>
      <c r="GU168" s="43"/>
      <c r="GV168" s="43"/>
      <c r="GW168" s="43"/>
    </row>
    <row r="169" ht="15.0" customHeight="1">
      <c r="A169" s="318"/>
      <c r="B169" s="504"/>
      <c r="C169" s="46"/>
      <c r="D169" s="46"/>
      <c r="E169" s="46"/>
      <c r="F169" s="46"/>
      <c r="G169" s="46"/>
      <c r="H169" s="46"/>
      <c r="I169" s="46"/>
      <c r="J169" s="46"/>
      <c r="K169" s="46"/>
      <c r="L169" s="46"/>
      <c r="M169" s="47"/>
      <c r="N169" s="91"/>
      <c r="O169" s="46"/>
      <c r="P169" s="46"/>
      <c r="Q169" s="47"/>
      <c r="R169" s="90"/>
      <c r="S169" s="46"/>
      <c r="T169" s="46"/>
      <c r="U169" s="47"/>
      <c r="V169" s="90"/>
      <c r="W169" s="46"/>
      <c r="X169" s="46"/>
      <c r="Y169" s="47"/>
      <c r="Z169" s="90"/>
      <c r="AA169" s="46"/>
      <c r="AB169" s="46"/>
      <c r="AC169" s="47"/>
      <c r="AD169" s="91"/>
      <c r="AE169" s="46"/>
      <c r="AF169" s="46"/>
      <c r="AG169" s="46"/>
      <c r="AH169" s="46"/>
      <c r="AI169" s="46"/>
      <c r="AJ169" s="46"/>
      <c r="AK169" s="47"/>
      <c r="AL169" s="127"/>
      <c r="AM169" s="46"/>
      <c r="AN169" s="46"/>
      <c r="AO169" s="46"/>
      <c r="AP169" s="46"/>
      <c r="AQ169" s="46"/>
      <c r="AR169" s="46"/>
      <c r="AS169" s="46"/>
      <c r="AT169" s="46"/>
      <c r="AU169" s="46"/>
      <c r="AV169" s="46"/>
      <c r="AW169" s="47"/>
      <c r="AX169" s="127"/>
      <c r="AY169" s="46"/>
      <c r="AZ169" s="46"/>
      <c r="BA169" s="47"/>
      <c r="BB169" s="127"/>
      <c r="BC169" s="46"/>
      <c r="BD169" s="46"/>
      <c r="BE169" s="47"/>
      <c r="BF169" s="127"/>
      <c r="BG169" s="46"/>
      <c r="BH169" s="46"/>
      <c r="BI169" s="47"/>
      <c r="BJ169" s="127"/>
      <c r="BK169" s="46"/>
      <c r="BL169" s="46"/>
      <c r="BM169" s="47"/>
      <c r="BN169" s="127"/>
      <c r="BO169" s="46"/>
      <c r="BP169" s="46"/>
      <c r="BQ169" s="46"/>
      <c r="BR169" s="46"/>
      <c r="BS169" s="46"/>
      <c r="BT169" s="46"/>
      <c r="BU169" s="47"/>
      <c r="BV169" s="43"/>
      <c r="BW169" s="43"/>
      <c r="BX169" s="43"/>
      <c r="BY169" s="43"/>
      <c r="BZ169" s="43"/>
      <c r="CA169" s="43"/>
      <c r="CB169" s="43"/>
      <c r="CC169" s="43"/>
      <c r="CD169" s="500"/>
      <c r="CE169" s="59"/>
      <c r="CN169" s="60"/>
      <c r="CO169" s="43"/>
      <c r="CY169" s="60"/>
      <c r="CZ169" s="501" t="s">
        <v>493</v>
      </c>
      <c r="DB169" s="510">
        <f t="shared" si="34"/>
        <v>0</v>
      </c>
      <c r="DD169" s="510">
        <f t="shared" si="35"/>
        <v>-1</v>
      </c>
      <c r="DF169" s="510">
        <f t="shared" si="36"/>
        <v>0</v>
      </c>
      <c r="DH169" s="510"/>
      <c r="DJ169" s="503"/>
      <c r="DK169" s="53"/>
      <c r="DL169" s="43"/>
      <c r="DM169" s="43"/>
      <c r="DN169" s="43"/>
      <c r="DO169" s="43"/>
      <c r="DP169" s="43"/>
      <c r="DQ169" s="43"/>
      <c r="DR169" s="43"/>
      <c r="DS169" s="43"/>
      <c r="DT169" s="43"/>
      <c r="DU169" s="43"/>
      <c r="DV169" s="43"/>
      <c r="DW169" s="43"/>
      <c r="DX169" s="43"/>
      <c r="DY169" s="43"/>
      <c r="DZ169" s="43"/>
      <c r="EA169" s="43"/>
      <c r="EB169" s="43"/>
      <c r="EC169" s="43"/>
      <c r="ED169" s="43"/>
      <c r="EE169" s="43"/>
      <c r="EF169" s="43"/>
      <c r="EG169" s="43"/>
      <c r="EH169" s="43"/>
      <c r="EI169" s="43"/>
      <c r="EJ169" s="43"/>
      <c r="EK169" s="43"/>
      <c r="EL169" s="43"/>
      <c r="EM169" s="43"/>
      <c r="EN169" s="43"/>
      <c r="EO169" s="43"/>
      <c r="EP169" s="43"/>
      <c r="EQ169" s="43"/>
      <c r="ER169" s="43"/>
      <c r="ES169" s="43"/>
      <c r="ET169" s="43"/>
      <c r="EU169" s="43"/>
      <c r="EV169" s="43"/>
      <c r="EW169" s="43"/>
      <c r="EX169" s="43"/>
      <c r="EY169" s="43"/>
      <c r="EZ169" s="43"/>
      <c r="FA169" s="43"/>
      <c r="FB169" s="43"/>
      <c r="FC169" s="43"/>
      <c r="FD169" s="43"/>
      <c r="FE169" s="43"/>
      <c r="FF169" s="43"/>
      <c r="FG169" s="43"/>
      <c r="FH169" s="43"/>
      <c r="FI169" s="43"/>
      <c r="FJ169" s="43"/>
      <c r="FK169" s="43"/>
      <c r="FL169" s="43"/>
      <c r="FM169" s="43"/>
      <c r="FN169" s="43"/>
      <c r="FO169" s="43"/>
      <c r="FP169" s="43"/>
      <c r="FQ169" s="43"/>
      <c r="FR169" s="43"/>
      <c r="FS169" s="43"/>
      <c r="FT169" s="43"/>
      <c r="FU169" s="43"/>
      <c r="FV169" s="43"/>
      <c r="FW169" s="43"/>
      <c r="FX169" s="43"/>
      <c r="FY169" s="43"/>
      <c r="FZ169" s="43"/>
      <c r="GA169" s="43"/>
      <c r="GB169" s="43"/>
      <c r="GC169" s="43"/>
      <c r="GD169" s="43"/>
      <c r="GE169" s="43"/>
      <c r="GF169" s="43"/>
      <c r="GG169" s="43"/>
      <c r="GH169" s="43"/>
      <c r="GI169" s="43"/>
      <c r="GJ169" s="43"/>
      <c r="GK169" s="43"/>
      <c r="GL169" s="43"/>
      <c r="GM169" s="43"/>
      <c r="GN169" s="43"/>
      <c r="GO169" s="43"/>
      <c r="GP169" s="43"/>
      <c r="GQ169" s="43"/>
      <c r="GR169" s="43"/>
      <c r="GS169" s="43"/>
      <c r="GT169" s="43"/>
      <c r="GU169" s="43"/>
      <c r="GV169" s="43"/>
      <c r="GW169" s="43"/>
    </row>
    <row r="170" ht="15.0" customHeight="1">
      <c r="A170" s="318"/>
      <c r="B170" s="91"/>
      <c r="C170" s="46"/>
      <c r="D170" s="46"/>
      <c r="E170" s="46"/>
      <c r="F170" s="46"/>
      <c r="G170" s="46"/>
      <c r="H170" s="46"/>
      <c r="I170" s="46"/>
      <c r="J170" s="46"/>
      <c r="K170" s="46"/>
      <c r="L170" s="46"/>
      <c r="M170" s="47"/>
      <c r="N170" s="91"/>
      <c r="O170" s="46"/>
      <c r="P170" s="46"/>
      <c r="Q170" s="47"/>
      <c r="R170" s="90"/>
      <c r="S170" s="46"/>
      <c r="T170" s="46"/>
      <c r="U170" s="47"/>
      <c r="V170" s="91"/>
      <c r="W170" s="46"/>
      <c r="X170" s="46"/>
      <c r="Y170" s="47"/>
      <c r="Z170" s="91"/>
      <c r="AA170" s="46"/>
      <c r="AB170" s="46"/>
      <c r="AC170" s="47"/>
      <c r="AD170" s="91"/>
      <c r="AE170" s="46"/>
      <c r="AF170" s="46"/>
      <c r="AG170" s="46"/>
      <c r="AH170" s="46"/>
      <c r="AI170" s="46"/>
      <c r="AJ170" s="46"/>
      <c r="AK170" s="47"/>
      <c r="AL170" s="127"/>
      <c r="AM170" s="46"/>
      <c r="AN170" s="46"/>
      <c r="AO170" s="46"/>
      <c r="AP170" s="46"/>
      <c r="AQ170" s="46"/>
      <c r="AR170" s="46"/>
      <c r="AS170" s="46"/>
      <c r="AT170" s="46"/>
      <c r="AU170" s="46"/>
      <c r="AV170" s="46"/>
      <c r="AW170" s="47"/>
      <c r="AX170" s="127"/>
      <c r="AY170" s="46"/>
      <c r="AZ170" s="46"/>
      <c r="BA170" s="47"/>
      <c r="BB170" s="127"/>
      <c r="BC170" s="46"/>
      <c r="BD170" s="46"/>
      <c r="BE170" s="47"/>
      <c r="BF170" s="127"/>
      <c r="BG170" s="46"/>
      <c r="BH170" s="46"/>
      <c r="BI170" s="47"/>
      <c r="BJ170" s="127"/>
      <c r="BK170" s="46"/>
      <c r="BL170" s="46"/>
      <c r="BM170" s="47"/>
      <c r="BN170" s="127"/>
      <c r="BO170" s="46"/>
      <c r="BP170" s="46"/>
      <c r="BQ170" s="46"/>
      <c r="BR170" s="46"/>
      <c r="BS170" s="46"/>
      <c r="BT170" s="46"/>
      <c r="BU170" s="47"/>
      <c r="BV170" s="43"/>
      <c r="BW170" s="43"/>
      <c r="BX170" s="43"/>
      <c r="BY170" s="43"/>
      <c r="BZ170" s="43"/>
      <c r="CA170" s="43"/>
      <c r="CB170" s="43"/>
      <c r="CC170" s="43"/>
      <c r="CD170" s="500"/>
      <c r="CE170" s="518" t="s">
        <v>823</v>
      </c>
      <c r="CI170" s="519" t="s">
        <v>882</v>
      </c>
      <c r="CN170" s="60"/>
      <c r="CO170" s="43"/>
      <c r="CP170" s="518" t="s">
        <v>825</v>
      </c>
      <c r="CV170" s="520">
        <v>2.0</v>
      </c>
      <c r="CY170" s="60"/>
      <c r="CZ170" s="501" t="s">
        <v>501</v>
      </c>
      <c r="DB170" s="510">
        <f t="shared" si="34"/>
        <v>0</v>
      </c>
      <c r="DD170" s="510">
        <f t="shared" si="35"/>
        <v>-1</v>
      </c>
      <c r="DF170" s="510">
        <f t="shared" si="36"/>
        <v>0</v>
      </c>
      <c r="DH170" s="510"/>
      <c r="DJ170" s="503"/>
      <c r="DK170" s="53"/>
      <c r="DL170" s="43"/>
      <c r="DM170" s="43"/>
      <c r="DN170" s="43"/>
      <c r="DO170" s="43"/>
      <c r="DP170" s="43"/>
      <c r="DQ170" s="43"/>
      <c r="DR170" s="43"/>
      <c r="DS170" s="43"/>
      <c r="DT170" s="43"/>
      <c r="DU170" s="43"/>
      <c r="DV170" s="43"/>
      <c r="DW170" s="43"/>
      <c r="DX170" s="43"/>
      <c r="DY170" s="43"/>
      <c r="DZ170" s="43"/>
      <c r="EA170" s="43"/>
      <c r="EB170" s="43"/>
      <c r="EC170" s="43"/>
      <c r="ED170" s="43"/>
      <c r="EE170" s="43"/>
      <c r="EF170" s="43"/>
      <c r="EG170" s="43"/>
      <c r="EH170" s="43"/>
      <c r="EI170" s="43"/>
      <c r="EJ170" s="43"/>
      <c r="EK170" s="43"/>
      <c r="EL170" s="43"/>
      <c r="EM170" s="43"/>
      <c r="EN170" s="43"/>
      <c r="EO170" s="43"/>
      <c r="EP170" s="43"/>
      <c r="EQ170" s="43"/>
      <c r="ER170" s="43"/>
      <c r="ES170" s="43"/>
      <c r="ET170" s="43"/>
      <c r="EU170" s="43"/>
      <c r="EV170" s="43"/>
      <c r="EW170" s="43"/>
      <c r="EX170" s="43"/>
      <c r="EY170" s="43"/>
      <c r="EZ170" s="43"/>
      <c r="FA170" s="43"/>
      <c r="FB170" s="43"/>
      <c r="FC170" s="43"/>
      <c r="FD170" s="43"/>
      <c r="FE170" s="43"/>
      <c r="FF170" s="43"/>
      <c r="FG170" s="43"/>
      <c r="FH170" s="43"/>
      <c r="FI170" s="43"/>
      <c r="FJ170" s="43"/>
      <c r="FK170" s="43"/>
      <c r="FL170" s="43"/>
      <c r="FM170" s="43"/>
      <c r="FN170" s="43"/>
      <c r="FO170" s="43"/>
      <c r="FP170" s="43"/>
      <c r="FQ170" s="43"/>
      <c r="FR170" s="43"/>
      <c r="FS170" s="43"/>
      <c r="FT170" s="43"/>
      <c r="FU170" s="43"/>
      <c r="FV170" s="43"/>
      <c r="FW170" s="43"/>
      <c r="FX170" s="43"/>
      <c r="FY170" s="43"/>
      <c r="FZ170" s="43"/>
      <c r="GA170" s="43"/>
      <c r="GB170" s="43"/>
      <c r="GC170" s="43"/>
      <c r="GD170" s="43"/>
      <c r="GE170" s="43"/>
      <c r="GF170" s="43"/>
      <c r="GG170" s="43"/>
      <c r="GH170" s="43"/>
      <c r="GI170" s="43"/>
      <c r="GJ170" s="43"/>
      <c r="GK170" s="43"/>
      <c r="GL170" s="43"/>
      <c r="GM170" s="43"/>
      <c r="GN170" s="43"/>
      <c r="GO170" s="43"/>
      <c r="GP170" s="43"/>
      <c r="GQ170" s="43"/>
      <c r="GR170" s="43"/>
      <c r="GS170" s="43"/>
      <c r="GT170" s="43"/>
      <c r="GU170" s="43"/>
      <c r="GV170" s="43"/>
      <c r="GW170" s="43"/>
    </row>
    <row r="171" ht="15.0" customHeight="1">
      <c r="A171" s="318"/>
      <c r="B171" s="91"/>
      <c r="C171" s="46"/>
      <c r="D171" s="46"/>
      <c r="E171" s="46"/>
      <c r="F171" s="46"/>
      <c r="G171" s="46"/>
      <c r="H171" s="46"/>
      <c r="I171" s="46"/>
      <c r="J171" s="46"/>
      <c r="K171" s="46"/>
      <c r="L171" s="46"/>
      <c r="M171" s="47"/>
      <c r="N171" s="91"/>
      <c r="O171" s="46"/>
      <c r="P171" s="46"/>
      <c r="Q171" s="47"/>
      <c r="R171" s="90"/>
      <c r="S171" s="46"/>
      <c r="T171" s="46"/>
      <c r="U171" s="47"/>
      <c r="V171" s="91"/>
      <c r="W171" s="46"/>
      <c r="X171" s="46"/>
      <c r="Y171" s="47"/>
      <c r="Z171" s="91"/>
      <c r="AA171" s="46"/>
      <c r="AB171" s="46"/>
      <c r="AC171" s="47"/>
      <c r="AD171" s="91"/>
      <c r="AE171" s="46"/>
      <c r="AF171" s="46"/>
      <c r="AG171" s="46"/>
      <c r="AH171" s="46"/>
      <c r="AI171" s="46"/>
      <c r="AJ171" s="46"/>
      <c r="AK171" s="47"/>
      <c r="AL171" s="127"/>
      <c r="AM171" s="46"/>
      <c r="AN171" s="46"/>
      <c r="AO171" s="46"/>
      <c r="AP171" s="46"/>
      <c r="AQ171" s="46"/>
      <c r="AR171" s="46"/>
      <c r="AS171" s="46"/>
      <c r="AT171" s="46"/>
      <c r="AU171" s="46"/>
      <c r="AV171" s="46"/>
      <c r="AW171" s="47"/>
      <c r="AX171" s="127"/>
      <c r="AY171" s="46"/>
      <c r="AZ171" s="46"/>
      <c r="BA171" s="47"/>
      <c r="BB171" s="127"/>
      <c r="BC171" s="46"/>
      <c r="BD171" s="46"/>
      <c r="BE171" s="47"/>
      <c r="BF171" s="127"/>
      <c r="BG171" s="46"/>
      <c r="BH171" s="46"/>
      <c r="BI171" s="47"/>
      <c r="BJ171" s="127"/>
      <c r="BK171" s="46"/>
      <c r="BL171" s="46"/>
      <c r="BM171" s="47"/>
      <c r="BN171" s="127"/>
      <c r="BO171" s="46"/>
      <c r="BP171" s="46"/>
      <c r="BQ171" s="46"/>
      <c r="BR171" s="46"/>
      <c r="BS171" s="46"/>
      <c r="BT171" s="46"/>
      <c r="BU171" s="47"/>
      <c r="BV171" s="43"/>
      <c r="BW171" s="43"/>
      <c r="BX171" s="43"/>
      <c r="BY171" s="43"/>
      <c r="BZ171" s="43"/>
      <c r="CA171" s="43"/>
      <c r="CB171" s="43"/>
      <c r="CC171" s="43"/>
      <c r="CD171" s="500"/>
      <c r="CE171" s="59"/>
      <c r="CN171" s="60"/>
      <c r="CO171" s="43"/>
      <c r="CP171" s="59"/>
      <c r="CY171" s="60"/>
      <c r="CZ171" s="501" t="s">
        <v>505</v>
      </c>
      <c r="DB171" s="510">
        <f t="shared" si="34"/>
        <v>0</v>
      </c>
      <c r="DD171" s="510">
        <f t="shared" si="35"/>
        <v>-1</v>
      </c>
      <c r="DF171" s="510">
        <f t="shared" si="36"/>
        <v>0</v>
      </c>
      <c r="DH171" s="510"/>
      <c r="DJ171" s="503"/>
      <c r="DK171" s="53"/>
      <c r="DL171" s="43"/>
      <c r="DM171" s="43"/>
      <c r="DN171" s="43"/>
      <c r="DO171" s="43"/>
      <c r="DP171" s="43"/>
      <c r="DQ171" s="43"/>
      <c r="DR171" s="43"/>
      <c r="DS171" s="43"/>
      <c r="DT171" s="43"/>
      <c r="DU171" s="43"/>
      <c r="DV171" s="43"/>
      <c r="DW171" s="43"/>
      <c r="DX171" s="43"/>
      <c r="DY171" s="43"/>
      <c r="DZ171" s="43"/>
      <c r="EA171" s="43"/>
      <c r="EB171" s="43"/>
      <c r="EC171" s="43"/>
      <c r="ED171" s="43"/>
      <c r="EE171" s="43"/>
      <c r="EF171" s="43"/>
      <c r="EG171" s="43"/>
      <c r="EH171" s="43"/>
      <c r="EI171" s="43"/>
      <c r="EJ171" s="43"/>
      <c r="EK171" s="43"/>
      <c r="EL171" s="43"/>
      <c r="EM171" s="43"/>
      <c r="EN171" s="43"/>
      <c r="EO171" s="43"/>
      <c r="EP171" s="43"/>
      <c r="EQ171" s="43"/>
      <c r="ER171" s="43"/>
      <c r="ES171" s="43"/>
      <c r="ET171" s="43"/>
      <c r="EU171" s="43"/>
      <c r="EV171" s="43"/>
      <c r="EW171" s="43"/>
      <c r="EX171" s="43"/>
      <c r="EY171" s="43"/>
      <c r="EZ171" s="43"/>
      <c r="FA171" s="43"/>
      <c r="FB171" s="43"/>
      <c r="FC171" s="43"/>
      <c r="FD171" s="43"/>
      <c r="FE171" s="43"/>
      <c r="FF171" s="43"/>
      <c r="FG171" s="43"/>
      <c r="FH171" s="43"/>
      <c r="FI171" s="43"/>
      <c r="FJ171" s="43"/>
      <c r="FK171" s="43"/>
      <c r="FL171" s="43"/>
      <c r="FM171" s="43"/>
      <c r="FN171" s="43"/>
      <c r="FO171" s="43"/>
      <c r="FP171" s="43"/>
      <c r="FQ171" s="43"/>
      <c r="FR171" s="43"/>
      <c r="FS171" s="43"/>
      <c r="FT171" s="43"/>
      <c r="FU171" s="43"/>
      <c r="FV171" s="43"/>
      <c r="FW171" s="43"/>
      <c r="FX171" s="43"/>
      <c r="FY171" s="43"/>
      <c r="FZ171" s="43"/>
      <c r="GA171" s="43"/>
      <c r="GB171" s="43"/>
      <c r="GC171" s="43"/>
      <c r="GD171" s="43"/>
      <c r="GE171" s="43"/>
      <c r="GF171" s="43"/>
      <c r="GG171" s="43"/>
      <c r="GH171" s="43"/>
      <c r="GI171" s="43"/>
      <c r="GJ171" s="43"/>
      <c r="GK171" s="43"/>
      <c r="GL171" s="43"/>
      <c r="GM171" s="43"/>
      <c r="GN171" s="43"/>
      <c r="GO171" s="43"/>
      <c r="GP171" s="43"/>
      <c r="GQ171" s="43"/>
      <c r="GR171" s="43"/>
      <c r="GS171" s="43"/>
      <c r="GT171" s="43"/>
      <c r="GU171" s="43"/>
      <c r="GV171" s="43"/>
      <c r="GW171" s="43"/>
    </row>
    <row r="172" ht="15.0" customHeight="1">
      <c r="A172" s="318"/>
      <c r="B172" s="91"/>
      <c r="C172" s="46"/>
      <c r="D172" s="46"/>
      <c r="E172" s="46"/>
      <c r="F172" s="46"/>
      <c r="G172" s="46"/>
      <c r="H172" s="46"/>
      <c r="I172" s="46"/>
      <c r="J172" s="46"/>
      <c r="K172" s="46"/>
      <c r="L172" s="46"/>
      <c r="M172" s="47"/>
      <c r="N172" s="91"/>
      <c r="O172" s="46"/>
      <c r="P172" s="46"/>
      <c r="Q172" s="47"/>
      <c r="R172" s="91"/>
      <c r="S172" s="46"/>
      <c r="T172" s="46"/>
      <c r="U172" s="47"/>
      <c r="V172" s="91"/>
      <c r="W172" s="46"/>
      <c r="X172" s="46"/>
      <c r="Y172" s="47"/>
      <c r="Z172" s="91"/>
      <c r="AA172" s="46"/>
      <c r="AB172" s="46"/>
      <c r="AC172" s="47"/>
      <c r="AD172" s="91"/>
      <c r="AE172" s="46"/>
      <c r="AF172" s="46"/>
      <c r="AG172" s="46"/>
      <c r="AH172" s="46"/>
      <c r="AI172" s="46"/>
      <c r="AJ172" s="46"/>
      <c r="AK172" s="47"/>
      <c r="AL172" s="127"/>
      <c r="AM172" s="46"/>
      <c r="AN172" s="46"/>
      <c r="AO172" s="46"/>
      <c r="AP172" s="46"/>
      <c r="AQ172" s="46"/>
      <c r="AR172" s="46"/>
      <c r="AS172" s="46"/>
      <c r="AT172" s="46"/>
      <c r="AU172" s="46"/>
      <c r="AV172" s="46"/>
      <c r="AW172" s="47"/>
      <c r="AX172" s="127"/>
      <c r="AY172" s="46"/>
      <c r="AZ172" s="46"/>
      <c r="BA172" s="47"/>
      <c r="BB172" s="127"/>
      <c r="BC172" s="46"/>
      <c r="BD172" s="46"/>
      <c r="BE172" s="47"/>
      <c r="BF172" s="127"/>
      <c r="BG172" s="46"/>
      <c r="BH172" s="46"/>
      <c r="BI172" s="47"/>
      <c r="BJ172" s="127"/>
      <c r="BK172" s="46"/>
      <c r="BL172" s="46"/>
      <c r="BM172" s="47"/>
      <c r="BN172" s="127"/>
      <c r="BO172" s="46"/>
      <c r="BP172" s="46"/>
      <c r="BQ172" s="46"/>
      <c r="BR172" s="46"/>
      <c r="BS172" s="46"/>
      <c r="BT172" s="46"/>
      <c r="BU172" s="47"/>
      <c r="BV172" s="43"/>
      <c r="BW172" s="43"/>
      <c r="BX172" s="43"/>
      <c r="BY172" s="43"/>
      <c r="BZ172" s="43"/>
      <c r="CA172" s="43"/>
      <c r="CB172" s="43"/>
      <c r="CC172" s="43"/>
      <c r="CD172" s="43"/>
      <c r="CE172" s="59"/>
      <c r="CN172" s="60"/>
      <c r="CO172" s="43"/>
      <c r="CP172" s="518" t="s">
        <v>829</v>
      </c>
      <c r="CV172" s="521">
        <v>3.0</v>
      </c>
      <c r="CY172" s="60"/>
      <c r="CZ172" s="501" t="s">
        <v>516</v>
      </c>
      <c r="DB172" s="510">
        <f t="shared" si="34"/>
        <v>0</v>
      </c>
      <c r="DD172" s="510">
        <f t="shared" si="35"/>
        <v>-1</v>
      </c>
      <c r="DF172" s="510">
        <f t="shared" si="36"/>
        <v>0</v>
      </c>
      <c r="DH172" s="510"/>
      <c r="DJ172" s="503"/>
      <c r="DK172" s="53"/>
      <c r="DL172" s="43"/>
      <c r="DM172" s="43"/>
      <c r="DN172" s="43"/>
      <c r="DO172" s="43"/>
      <c r="DP172" s="43"/>
      <c r="DQ172" s="43"/>
      <c r="DR172" s="43"/>
      <c r="DS172" s="43"/>
      <c r="DT172" s="43"/>
      <c r="DU172" s="43"/>
      <c r="DV172" s="43"/>
      <c r="DW172" s="43"/>
      <c r="DX172" s="43"/>
      <c r="DY172" s="43"/>
      <c r="DZ172" s="43"/>
      <c r="EA172" s="43"/>
      <c r="EB172" s="43"/>
      <c r="EC172" s="43"/>
      <c r="ED172" s="43"/>
      <c r="EE172" s="43"/>
      <c r="EF172" s="43"/>
      <c r="EG172" s="43"/>
      <c r="EH172" s="43"/>
      <c r="EI172" s="43"/>
      <c r="EJ172" s="43"/>
      <c r="EK172" s="43"/>
      <c r="EL172" s="43"/>
      <c r="EM172" s="43"/>
      <c r="EN172" s="43"/>
      <c r="EO172" s="43"/>
      <c r="EP172" s="43"/>
      <c r="EQ172" s="43"/>
      <c r="ER172" s="43"/>
      <c r="ES172" s="43"/>
      <c r="ET172" s="43"/>
      <c r="EU172" s="43"/>
      <c r="EV172" s="43"/>
      <c r="EW172" s="43"/>
      <c r="EX172" s="43"/>
      <c r="EY172" s="43"/>
      <c r="EZ172" s="43"/>
      <c r="FA172" s="43"/>
      <c r="FB172" s="43"/>
      <c r="FC172" s="43"/>
      <c r="FD172" s="43"/>
      <c r="FE172" s="43"/>
      <c r="FF172" s="43"/>
      <c r="FG172" s="43"/>
      <c r="FH172" s="43"/>
      <c r="FI172" s="43"/>
      <c r="FJ172" s="43"/>
      <c r="FK172" s="43"/>
      <c r="FL172" s="43"/>
      <c r="FM172" s="43"/>
      <c r="FN172" s="43"/>
      <c r="FO172" s="43"/>
      <c r="FP172" s="43"/>
      <c r="FQ172" s="43"/>
      <c r="FR172" s="43"/>
      <c r="FS172" s="43"/>
      <c r="FT172" s="43"/>
      <c r="FU172" s="43"/>
      <c r="FV172" s="43"/>
      <c r="FW172" s="43"/>
      <c r="FX172" s="43"/>
      <c r="FY172" s="43"/>
      <c r="FZ172" s="43"/>
      <c r="GA172" s="43"/>
      <c r="GB172" s="43"/>
      <c r="GC172" s="43"/>
      <c r="GD172" s="43"/>
      <c r="GE172" s="43"/>
      <c r="GF172" s="43"/>
      <c r="GG172" s="43"/>
      <c r="GH172" s="43"/>
      <c r="GI172" s="43"/>
      <c r="GJ172" s="43"/>
      <c r="GK172" s="43"/>
      <c r="GL172" s="43"/>
      <c r="GM172" s="43"/>
      <c r="GN172" s="43"/>
      <c r="GO172" s="43"/>
      <c r="GP172" s="43"/>
      <c r="GQ172" s="43"/>
      <c r="GR172" s="43"/>
      <c r="GS172" s="43"/>
      <c r="GT172" s="43"/>
      <c r="GU172" s="43"/>
      <c r="GV172" s="43"/>
      <c r="GW172" s="43"/>
    </row>
    <row r="173" ht="15.0" customHeight="1">
      <c r="A173" s="318"/>
      <c r="B173" s="91"/>
      <c r="C173" s="46"/>
      <c r="D173" s="46"/>
      <c r="E173" s="46"/>
      <c r="F173" s="46"/>
      <c r="G173" s="46"/>
      <c r="H173" s="46"/>
      <c r="I173" s="46"/>
      <c r="J173" s="46"/>
      <c r="K173" s="46"/>
      <c r="L173" s="46"/>
      <c r="M173" s="47"/>
      <c r="N173" s="91"/>
      <c r="O173" s="46"/>
      <c r="P173" s="46"/>
      <c r="Q173" s="47"/>
      <c r="R173" s="91"/>
      <c r="S173" s="46"/>
      <c r="T173" s="46"/>
      <c r="U173" s="47"/>
      <c r="V173" s="91"/>
      <c r="W173" s="46"/>
      <c r="X173" s="46"/>
      <c r="Y173" s="47"/>
      <c r="Z173" s="91"/>
      <c r="AA173" s="46"/>
      <c r="AB173" s="46"/>
      <c r="AC173" s="47"/>
      <c r="AD173" s="91"/>
      <c r="AE173" s="46"/>
      <c r="AF173" s="46"/>
      <c r="AG173" s="46"/>
      <c r="AH173" s="46"/>
      <c r="AI173" s="46"/>
      <c r="AJ173" s="46"/>
      <c r="AK173" s="47"/>
      <c r="AL173" s="127"/>
      <c r="AM173" s="46"/>
      <c r="AN173" s="46"/>
      <c r="AO173" s="46"/>
      <c r="AP173" s="46"/>
      <c r="AQ173" s="46"/>
      <c r="AR173" s="46"/>
      <c r="AS173" s="46"/>
      <c r="AT173" s="46"/>
      <c r="AU173" s="46"/>
      <c r="AV173" s="46"/>
      <c r="AW173" s="47"/>
      <c r="AX173" s="127"/>
      <c r="AY173" s="46"/>
      <c r="AZ173" s="46"/>
      <c r="BA173" s="47"/>
      <c r="BB173" s="127"/>
      <c r="BC173" s="46"/>
      <c r="BD173" s="46"/>
      <c r="BE173" s="47"/>
      <c r="BF173" s="127"/>
      <c r="BG173" s="46"/>
      <c r="BH173" s="46"/>
      <c r="BI173" s="47"/>
      <c r="BJ173" s="127"/>
      <c r="BK173" s="46"/>
      <c r="BL173" s="46"/>
      <c r="BM173" s="47"/>
      <c r="BN173" s="127"/>
      <c r="BO173" s="46"/>
      <c r="BP173" s="46"/>
      <c r="BQ173" s="46"/>
      <c r="BR173" s="46"/>
      <c r="BS173" s="46"/>
      <c r="BT173" s="46"/>
      <c r="BU173" s="47"/>
      <c r="BV173" s="43"/>
      <c r="BW173" s="43"/>
      <c r="BX173" s="43"/>
      <c r="BY173" s="43"/>
      <c r="BZ173" s="43"/>
      <c r="CA173" s="43"/>
      <c r="CB173" s="43"/>
      <c r="CC173" s="43"/>
      <c r="CD173" s="43"/>
      <c r="CE173" s="518" t="s">
        <v>831</v>
      </c>
      <c r="CI173" s="522">
        <f t="array" ref="CI173">if(ISBLANK(CI170),"",LOOKUP(CI170,{"500","A4000","A8000","AA4000","AA8000","B2000","B4000","BB2000","BB4000","C1000","C2000","CC1000","CC2000","D1000","D500","DD1000","DD500","S16000","S8000","SS16000","SS8000"},{3,243,324,405,486,81,108,135,162,27,36,45,54,12,9,18,15,972,729,1458,1215}))</f>
        <v>81</v>
      </c>
      <c r="CN173" s="60"/>
      <c r="CO173" s="43"/>
      <c r="CP173" s="59"/>
      <c r="CY173" s="60"/>
      <c r="CZ173" s="501"/>
      <c r="DB173" s="502">
        <v>0.0</v>
      </c>
      <c r="DD173" s="502">
        <v>0.0</v>
      </c>
      <c r="DF173" s="502">
        <v>0.0</v>
      </c>
      <c r="DH173" s="510"/>
      <c r="DJ173" s="503"/>
      <c r="DK173" s="53"/>
      <c r="DL173" s="43"/>
      <c r="DM173" s="43"/>
      <c r="DN173" s="43"/>
      <c r="DO173" s="43"/>
      <c r="DP173" s="43"/>
      <c r="DQ173" s="43"/>
      <c r="DR173" s="43"/>
      <c r="DS173" s="43"/>
      <c r="DT173" s="43"/>
      <c r="DU173" s="43"/>
      <c r="DV173" s="43"/>
      <c r="DW173" s="43"/>
      <c r="DX173" s="43"/>
      <c r="DY173" s="43"/>
      <c r="DZ173" s="43"/>
      <c r="EA173" s="43"/>
      <c r="EB173" s="43"/>
      <c r="EC173" s="43"/>
      <c r="ED173" s="43"/>
      <c r="EE173" s="43"/>
      <c r="EF173" s="43"/>
      <c r="EG173" s="43"/>
      <c r="EH173" s="43"/>
      <c r="EI173" s="43"/>
      <c r="EJ173" s="43"/>
      <c r="EK173" s="43"/>
      <c r="EL173" s="43"/>
      <c r="EM173" s="43"/>
      <c r="EN173" s="43"/>
      <c r="EO173" s="43"/>
      <c r="EP173" s="43"/>
      <c r="EQ173" s="43"/>
      <c r="ER173" s="43"/>
      <c r="ES173" s="43"/>
      <c r="ET173" s="43"/>
      <c r="EU173" s="43"/>
      <c r="EV173" s="43"/>
      <c r="EW173" s="43"/>
      <c r="EX173" s="43"/>
      <c r="EY173" s="43"/>
      <c r="EZ173" s="43"/>
      <c r="FA173" s="43"/>
      <c r="FB173" s="43"/>
      <c r="FC173" s="43"/>
      <c r="FD173" s="43"/>
      <c r="FE173" s="43"/>
      <c r="FF173" s="43"/>
      <c r="FG173" s="43"/>
      <c r="FH173" s="43"/>
      <c r="FI173" s="43"/>
      <c r="FJ173" s="43"/>
      <c r="FK173" s="43"/>
      <c r="FL173" s="43"/>
      <c r="FM173" s="43"/>
      <c r="FN173" s="43"/>
      <c r="FO173" s="43"/>
      <c r="FP173" s="43"/>
      <c r="FQ173" s="43"/>
      <c r="FR173" s="43"/>
      <c r="FS173" s="43"/>
      <c r="FT173" s="43"/>
      <c r="FU173" s="43"/>
      <c r="FV173" s="43"/>
      <c r="FW173" s="43"/>
      <c r="FX173" s="43"/>
      <c r="FY173" s="43"/>
      <c r="FZ173" s="43"/>
      <c r="GA173" s="43"/>
      <c r="GB173" s="43"/>
      <c r="GC173" s="43"/>
      <c r="GD173" s="43"/>
      <c r="GE173" s="43"/>
      <c r="GF173" s="43"/>
      <c r="GG173" s="43"/>
      <c r="GH173" s="43"/>
      <c r="GI173" s="43"/>
      <c r="GJ173" s="43"/>
      <c r="GK173" s="43"/>
      <c r="GL173" s="43"/>
      <c r="GM173" s="43"/>
      <c r="GN173" s="43"/>
      <c r="GO173" s="43"/>
      <c r="GP173" s="43"/>
      <c r="GQ173" s="43"/>
      <c r="GR173" s="43"/>
      <c r="GS173" s="43"/>
      <c r="GT173" s="43"/>
      <c r="GU173" s="43"/>
      <c r="GV173" s="43"/>
      <c r="GW173" s="43"/>
    </row>
    <row r="174" ht="15.0" customHeight="1">
      <c r="A174" s="318"/>
      <c r="B174" s="91"/>
      <c r="C174" s="46"/>
      <c r="D174" s="46"/>
      <c r="E174" s="46"/>
      <c r="F174" s="46"/>
      <c r="G174" s="46"/>
      <c r="H174" s="46"/>
      <c r="I174" s="46"/>
      <c r="J174" s="46"/>
      <c r="K174" s="46"/>
      <c r="L174" s="46"/>
      <c r="M174" s="47"/>
      <c r="N174" s="91"/>
      <c r="O174" s="46"/>
      <c r="P174" s="46"/>
      <c r="Q174" s="47"/>
      <c r="R174" s="91"/>
      <c r="S174" s="46"/>
      <c r="T174" s="46"/>
      <c r="U174" s="47"/>
      <c r="V174" s="91"/>
      <c r="W174" s="46"/>
      <c r="X174" s="46"/>
      <c r="Y174" s="47"/>
      <c r="Z174" s="91"/>
      <c r="AA174" s="46"/>
      <c r="AB174" s="46"/>
      <c r="AC174" s="47"/>
      <c r="AD174" s="91"/>
      <c r="AE174" s="46"/>
      <c r="AF174" s="46"/>
      <c r="AG174" s="46"/>
      <c r="AH174" s="46"/>
      <c r="AI174" s="46"/>
      <c r="AJ174" s="46"/>
      <c r="AK174" s="47"/>
      <c r="AL174" s="127"/>
      <c r="AM174" s="46"/>
      <c r="AN174" s="46"/>
      <c r="AO174" s="46"/>
      <c r="AP174" s="46"/>
      <c r="AQ174" s="46"/>
      <c r="AR174" s="46"/>
      <c r="AS174" s="46"/>
      <c r="AT174" s="46"/>
      <c r="AU174" s="46"/>
      <c r="AV174" s="46"/>
      <c r="AW174" s="47"/>
      <c r="AX174" s="127"/>
      <c r="AY174" s="46"/>
      <c r="AZ174" s="46"/>
      <c r="BA174" s="47"/>
      <c r="BB174" s="127"/>
      <c r="BC174" s="46"/>
      <c r="BD174" s="46"/>
      <c r="BE174" s="47"/>
      <c r="BF174" s="127"/>
      <c r="BG174" s="46"/>
      <c r="BH174" s="46"/>
      <c r="BI174" s="47"/>
      <c r="BJ174" s="127"/>
      <c r="BK174" s="46"/>
      <c r="BL174" s="46"/>
      <c r="BM174" s="47"/>
      <c r="BN174" s="127"/>
      <c r="BO174" s="46"/>
      <c r="BP174" s="46"/>
      <c r="BQ174" s="46"/>
      <c r="BR174" s="46"/>
      <c r="BS174" s="46"/>
      <c r="BT174" s="46"/>
      <c r="BU174" s="47"/>
      <c r="BV174" s="43"/>
      <c r="BW174" s="43"/>
      <c r="BX174" s="43"/>
      <c r="BY174" s="43"/>
      <c r="BZ174" s="43"/>
      <c r="CA174" s="43"/>
      <c r="CB174" s="43"/>
      <c r="CC174" s="43"/>
      <c r="CD174" s="500"/>
      <c r="CE174" s="59"/>
      <c r="CN174" s="60"/>
      <c r="CO174" s="43"/>
      <c r="CP174" s="518" t="s">
        <v>834</v>
      </c>
      <c r="CV174" s="523" t="s">
        <v>835</v>
      </c>
      <c r="CY174" s="60"/>
      <c r="CZ174" s="501" t="s">
        <v>511</v>
      </c>
      <c r="DB174" s="510" t="str">
        <f t="shared" ref="DB174:DB175" si="37">O38</f>
        <v>無效</v>
      </c>
      <c r="DD174" s="510" t="str">
        <f t="shared" ref="DD174:DD175" si="38">S38</f>
        <v>X</v>
      </c>
      <c r="DF174" s="510">
        <f t="shared" ref="DF174:DF175" si="39">G38+I38</f>
        <v>0</v>
      </c>
      <c r="DH174" s="510"/>
      <c r="DJ174" s="503"/>
      <c r="DK174" s="53"/>
      <c r="DL174" s="43"/>
      <c r="DM174" s="43"/>
      <c r="DN174" s="43"/>
      <c r="DO174" s="43"/>
      <c r="DP174" s="43"/>
      <c r="DQ174" s="43"/>
      <c r="DR174" s="43"/>
      <c r="DS174" s="43"/>
      <c r="DT174" s="43"/>
      <c r="DU174" s="524" t="s">
        <v>836</v>
      </c>
      <c r="EG174" s="43"/>
      <c r="EH174" s="43"/>
      <c r="EI174" s="43"/>
      <c r="EJ174" s="43"/>
      <c r="EK174" s="43"/>
      <c r="EL174" s="43"/>
      <c r="EM174" s="43"/>
      <c r="EN174" s="43"/>
      <c r="EO174" s="43"/>
      <c r="EP174" s="43"/>
      <c r="EQ174" s="43"/>
      <c r="ER174" s="43"/>
      <c r="ES174" s="43"/>
      <c r="ET174" s="43"/>
      <c r="EU174" s="43"/>
      <c r="EV174" s="43"/>
      <c r="EW174" s="43"/>
      <c r="EX174" s="43"/>
      <c r="EY174" s="43"/>
      <c r="EZ174" s="43"/>
      <c r="FA174" s="43"/>
      <c r="FB174" s="43"/>
      <c r="FC174" s="43"/>
      <c r="FD174" s="43"/>
      <c r="FE174" s="43"/>
      <c r="FF174" s="43"/>
      <c r="FG174" s="43"/>
      <c r="FH174" s="43"/>
      <c r="FI174" s="43"/>
      <c r="FJ174" s="43"/>
      <c r="FK174" s="43"/>
      <c r="FL174" s="43"/>
      <c r="FM174" s="43"/>
      <c r="FN174" s="43"/>
      <c r="FO174" s="43"/>
      <c r="FP174" s="43"/>
      <c r="FQ174" s="43"/>
      <c r="FR174" s="43"/>
      <c r="FS174" s="43"/>
      <c r="FT174" s="43"/>
      <c r="FU174" s="43"/>
      <c r="FV174" s="43"/>
      <c r="FW174" s="43"/>
      <c r="FX174" s="43"/>
      <c r="FY174" s="43"/>
      <c r="FZ174" s="43"/>
      <c r="GA174" s="43"/>
      <c r="GB174" s="43"/>
      <c r="GC174" s="43"/>
      <c r="GD174" s="43"/>
      <c r="GE174" s="43"/>
      <c r="GF174" s="43"/>
      <c r="GG174" s="43"/>
      <c r="GH174" s="43"/>
      <c r="GI174" s="43"/>
      <c r="GJ174" s="43"/>
      <c r="GK174" s="43"/>
      <c r="GL174" s="43"/>
      <c r="GM174" s="43"/>
      <c r="GN174" s="43"/>
      <c r="GO174" s="43"/>
      <c r="GP174" s="43"/>
      <c r="GQ174" s="43"/>
      <c r="GR174" s="43"/>
      <c r="GS174" s="43"/>
      <c r="GT174" s="43"/>
      <c r="GU174" s="43"/>
      <c r="GV174" s="43"/>
      <c r="GW174" s="43"/>
    </row>
    <row r="175" ht="15.0" customHeight="1">
      <c r="A175" s="318"/>
      <c r="B175" s="91"/>
      <c r="C175" s="46"/>
      <c r="D175" s="46"/>
      <c r="E175" s="46"/>
      <c r="F175" s="46"/>
      <c r="G175" s="46"/>
      <c r="H175" s="46"/>
      <c r="I175" s="46"/>
      <c r="J175" s="46"/>
      <c r="K175" s="46"/>
      <c r="L175" s="46"/>
      <c r="M175" s="47"/>
      <c r="N175" s="91"/>
      <c r="O175" s="46"/>
      <c r="P175" s="46"/>
      <c r="Q175" s="47"/>
      <c r="R175" s="91"/>
      <c r="S175" s="46"/>
      <c r="T175" s="46"/>
      <c r="U175" s="47"/>
      <c r="V175" s="91"/>
      <c r="W175" s="46"/>
      <c r="X175" s="46"/>
      <c r="Y175" s="47"/>
      <c r="Z175" s="91"/>
      <c r="AA175" s="46"/>
      <c r="AB175" s="46"/>
      <c r="AC175" s="47"/>
      <c r="AD175" s="91"/>
      <c r="AE175" s="46"/>
      <c r="AF175" s="46"/>
      <c r="AG175" s="46"/>
      <c r="AH175" s="46"/>
      <c r="AI175" s="46"/>
      <c r="AJ175" s="46"/>
      <c r="AK175" s="47"/>
      <c r="AL175" s="127"/>
      <c r="AM175" s="46"/>
      <c r="AN175" s="46"/>
      <c r="AO175" s="46"/>
      <c r="AP175" s="46"/>
      <c r="AQ175" s="46"/>
      <c r="AR175" s="46"/>
      <c r="AS175" s="46"/>
      <c r="AT175" s="46"/>
      <c r="AU175" s="46"/>
      <c r="AV175" s="46"/>
      <c r="AW175" s="47"/>
      <c r="AX175" s="127"/>
      <c r="AY175" s="46"/>
      <c r="AZ175" s="46"/>
      <c r="BA175" s="47"/>
      <c r="BB175" s="127"/>
      <c r="BC175" s="46"/>
      <c r="BD175" s="46"/>
      <c r="BE175" s="47"/>
      <c r="BF175" s="127"/>
      <c r="BG175" s="46"/>
      <c r="BH175" s="46"/>
      <c r="BI175" s="47"/>
      <c r="BJ175" s="127"/>
      <c r="BK175" s="46"/>
      <c r="BL175" s="46"/>
      <c r="BM175" s="47"/>
      <c r="BN175" s="127"/>
      <c r="BO175" s="46"/>
      <c r="BP175" s="46"/>
      <c r="BQ175" s="46"/>
      <c r="BR175" s="46"/>
      <c r="BS175" s="46"/>
      <c r="BT175" s="46"/>
      <c r="BU175" s="47"/>
      <c r="BV175" s="43"/>
      <c r="BW175" s="43"/>
      <c r="BX175" s="43"/>
      <c r="BY175" s="43"/>
      <c r="BZ175" s="43"/>
      <c r="CA175" s="43"/>
      <c r="CB175" s="43"/>
      <c r="CC175" s="43"/>
      <c r="CD175" s="500"/>
      <c r="CE175" s="70"/>
      <c r="CF175" s="57"/>
      <c r="CG175" s="57"/>
      <c r="CH175" s="57"/>
      <c r="CI175" s="57"/>
      <c r="CJ175" s="57"/>
      <c r="CK175" s="57"/>
      <c r="CL175" s="57"/>
      <c r="CM175" s="57"/>
      <c r="CN175" s="58"/>
      <c r="CO175" s="43"/>
      <c r="CP175" s="59"/>
      <c r="CY175" s="60"/>
      <c r="CZ175" s="501" t="s">
        <v>518</v>
      </c>
      <c r="DB175" s="510" t="str">
        <f t="shared" si="37"/>
        <v>無效</v>
      </c>
      <c r="DD175" s="510" t="str">
        <f t="shared" si="38"/>
        <v>X</v>
      </c>
      <c r="DF175" s="510">
        <f t="shared" si="39"/>
        <v>0</v>
      </c>
      <c r="DH175" s="510"/>
      <c r="DJ175" s="503"/>
      <c r="DK175" s="53"/>
      <c r="DL175" s="43"/>
      <c r="DM175" s="43"/>
      <c r="DN175" s="43"/>
      <c r="DO175" s="43"/>
      <c r="DP175" s="43"/>
      <c r="DQ175" s="43"/>
      <c r="DR175" s="43"/>
      <c r="DS175" s="43"/>
      <c r="DT175" s="43"/>
      <c r="EG175" s="43"/>
      <c r="EH175" s="43"/>
      <c r="EI175" s="43"/>
      <c r="EJ175" s="43"/>
      <c r="EK175" s="43"/>
      <c r="EL175" s="43"/>
      <c r="EM175" s="43"/>
      <c r="EN175" s="43"/>
      <c r="EO175" s="43"/>
      <c r="EP175" s="43"/>
      <c r="EQ175" s="43"/>
      <c r="ER175" s="43"/>
      <c r="ES175" s="43"/>
      <c r="ET175" s="43"/>
      <c r="EU175" s="43"/>
      <c r="EV175" s="43"/>
      <c r="EW175" s="43"/>
      <c r="EX175" s="43"/>
      <c r="EY175" s="43"/>
      <c r="EZ175" s="43"/>
      <c r="FA175" s="43"/>
      <c r="FB175" s="43"/>
      <c r="FC175" s="43"/>
      <c r="FD175" s="43"/>
      <c r="FE175" s="43"/>
      <c r="FF175" s="43"/>
      <c r="FG175" s="43"/>
      <c r="FH175" s="43"/>
      <c r="FI175" s="43"/>
      <c r="FJ175" s="43"/>
      <c r="FK175" s="43"/>
      <c r="FL175" s="43"/>
      <c r="FM175" s="43"/>
      <c r="FN175" s="43"/>
      <c r="FO175" s="43"/>
      <c r="FP175" s="43"/>
      <c r="FQ175" s="43"/>
      <c r="FR175" s="43"/>
      <c r="FS175" s="43"/>
      <c r="FT175" s="43"/>
      <c r="FU175" s="43"/>
      <c r="FV175" s="43"/>
      <c r="FW175" s="43"/>
      <c r="FX175" s="43"/>
      <c r="FY175" s="43"/>
      <c r="FZ175" s="43"/>
      <c r="GA175" s="43"/>
      <c r="GB175" s="43"/>
      <c r="GC175" s="43"/>
      <c r="GD175" s="43"/>
      <c r="GE175" s="43"/>
      <c r="GF175" s="43"/>
      <c r="GG175" s="43"/>
      <c r="GH175" s="43"/>
      <c r="GI175" s="43"/>
      <c r="GJ175" s="43"/>
      <c r="GK175" s="43"/>
      <c r="GL175" s="43"/>
      <c r="GM175" s="43"/>
      <c r="GN175" s="43"/>
      <c r="GO175" s="43"/>
      <c r="GP175" s="43"/>
      <c r="GQ175" s="43"/>
      <c r="GR175" s="43"/>
      <c r="GS175" s="43"/>
      <c r="GT175" s="43"/>
      <c r="GU175" s="43"/>
      <c r="GV175" s="43"/>
      <c r="GW175" s="43"/>
    </row>
    <row r="176" ht="15.0" customHeight="1">
      <c r="A176" s="318"/>
      <c r="B176" s="91"/>
      <c r="C176" s="46"/>
      <c r="D176" s="46"/>
      <c r="E176" s="46"/>
      <c r="F176" s="46"/>
      <c r="G176" s="46"/>
      <c r="H176" s="46"/>
      <c r="I176" s="46"/>
      <c r="J176" s="46"/>
      <c r="K176" s="46"/>
      <c r="L176" s="46"/>
      <c r="M176" s="47"/>
      <c r="N176" s="91"/>
      <c r="O176" s="46"/>
      <c r="P176" s="46"/>
      <c r="Q176" s="47"/>
      <c r="R176" s="91"/>
      <c r="S176" s="46"/>
      <c r="T176" s="46"/>
      <c r="U176" s="47"/>
      <c r="V176" s="91"/>
      <c r="W176" s="46"/>
      <c r="X176" s="46"/>
      <c r="Y176" s="47"/>
      <c r="Z176" s="91"/>
      <c r="AA176" s="46"/>
      <c r="AB176" s="46"/>
      <c r="AC176" s="47"/>
      <c r="AD176" s="91"/>
      <c r="AE176" s="46"/>
      <c r="AF176" s="46"/>
      <c r="AG176" s="46"/>
      <c r="AH176" s="46"/>
      <c r="AI176" s="46"/>
      <c r="AJ176" s="46"/>
      <c r="AK176" s="47"/>
      <c r="AL176" s="127"/>
      <c r="AM176" s="46"/>
      <c r="AN176" s="46"/>
      <c r="AO176" s="46"/>
      <c r="AP176" s="46"/>
      <c r="AQ176" s="46"/>
      <c r="AR176" s="46"/>
      <c r="AS176" s="46"/>
      <c r="AT176" s="46"/>
      <c r="AU176" s="46"/>
      <c r="AV176" s="46"/>
      <c r="AW176" s="47"/>
      <c r="AX176" s="127"/>
      <c r="AY176" s="46"/>
      <c r="AZ176" s="46"/>
      <c r="BA176" s="47"/>
      <c r="BB176" s="127"/>
      <c r="BC176" s="46"/>
      <c r="BD176" s="46"/>
      <c r="BE176" s="47"/>
      <c r="BF176" s="127"/>
      <c r="BG176" s="46"/>
      <c r="BH176" s="46"/>
      <c r="BI176" s="47"/>
      <c r="BJ176" s="127"/>
      <c r="BK176" s="46"/>
      <c r="BL176" s="46"/>
      <c r="BM176" s="47"/>
      <c r="BN176" s="127"/>
      <c r="BO176" s="46"/>
      <c r="BP176" s="46"/>
      <c r="BQ176" s="46"/>
      <c r="BR176" s="46"/>
      <c r="BS176" s="46"/>
      <c r="BT176" s="46"/>
      <c r="BU176" s="47"/>
      <c r="BV176" s="43"/>
      <c r="BW176" s="43"/>
      <c r="BX176" s="43"/>
      <c r="BY176" s="43"/>
      <c r="BZ176" s="43"/>
      <c r="CA176" s="43"/>
      <c r="CB176" s="43"/>
      <c r="CC176" s="43"/>
      <c r="CD176" s="500"/>
      <c r="CE176" s="525" t="str">
        <f>if(ISBLANK(CK181),"",Iferror(Mid(CK181,SEARCH("+",CK181)+1,16),CK181))</f>
        <v/>
      </c>
      <c r="CF176" s="43"/>
      <c r="CG176" s="43"/>
      <c r="CH176" s="43"/>
      <c r="CI176" s="43"/>
      <c r="CJ176" s="43"/>
      <c r="CK176" s="43"/>
      <c r="CL176" s="43"/>
      <c r="CM176" s="43"/>
      <c r="CN176" s="43"/>
      <c r="CO176" s="43"/>
      <c r="CP176" s="518" t="s">
        <v>831</v>
      </c>
      <c r="CV176" s="522">
        <f>((CV172*(CV172+1))/2-(CV170*(CV170+1))/2)
*_xlfn.IFS(CV174="普通",3,CV174="輪迴隊",6)</f>
        <v>9</v>
      </c>
      <c r="CY176" s="60"/>
      <c r="CZ176" s="501"/>
      <c r="DB176" s="510"/>
      <c r="DD176" s="510"/>
      <c r="DF176" s="510"/>
      <c r="DH176" s="510"/>
      <c r="DJ176" s="503"/>
      <c r="DK176" s="53"/>
      <c r="DL176" s="43"/>
      <c r="DM176" s="43"/>
      <c r="DN176" s="43"/>
      <c r="DO176" s="43"/>
      <c r="DP176" s="43"/>
      <c r="DQ176" s="43"/>
      <c r="DR176" s="43"/>
      <c r="DS176" s="43"/>
      <c r="DT176" s="43"/>
      <c r="EG176" s="43"/>
      <c r="EH176" s="43"/>
      <c r="EI176" s="43"/>
      <c r="EJ176" s="43"/>
      <c r="EK176" s="43"/>
      <c r="EL176" s="43"/>
      <c r="EM176" s="43"/>
      <c r="EN176" s="43"/>
      <c r="EO176" s="43"/>
      <c r="EP176" s="43"/>
      <c r="EQ176" s="43"/>
      <c r="ER176" s="43"/>
      <c r="ES176" s="43"/>
      <c r="ET176" s="43"/>
      <c r="EU176" s="43"/>
      <c r="EV176" s="43"/>
      <c r="EW176" s="43"/>
      <c r="EX176" s="43"/>
      <c r="EY176" s="43"/>
      <c r="EZ176" s="43"/>
      <c r="FA176" s="43"/>
      <c r="FB176" s="43"/>
      <c r="FC176" s="43"/>
      <c r="FD176" s="43"/>
      <c r="FE176" s="43"/>
      <c r="FF176" s="43"/>
      <c r="FG176" s="43"/>
      <c r="FH176" s="43"/>
      <c r="FI176" s="43"/>
      <c r="FJ176" s="43"/>
      <c r="FK176" s="43"/>
      <c r="FL176" s="43"/>
      <c r="FM176" s="43"/>
      <c r="FN176" s="43"/>
      <c r="FO176" s="43"/>
      <c r="FP176" s="43"/>
      <c r="FQ176" s="43"/>
      <c r="FR176" s="43"/>
      <c r="FS176" s="43"/>
      <c r="FT176" s="43"/>
      <c r="FU176" s="43"/>
      <c r="FV176" s="43"/>
      <c r="FW176" s="43"/>
      <c r="FX176" s="43"/>
      <c r="FY176" s="43"/>
      <c r="FZ176" s="43"/>
      <c r="GA176" s="43"/>
      <c r="GB176" s="43"/>
      <c r="GC176" s="43"/>
      <c r="GD176" s="43"/>
      <c r="GE176" s="43"/>
      <c r="GF176" s="43"/>
      <c r="GG176" s="43"/>
      <c r="GH176" s="43"/>
      <c r="GI176" s="43"/>
      <c r="GJ176" s="43"/>
      <c r="GK176" s="43"/>
      <c r="GL176" s="43"/>
      <c r="GM176" s="43"/>
      <c r="GN176" s="43"/>
      <c r="GO176" s="43"/>
      <c r="GP176" s="43"/>
      <c r="GQ176" s="43"/>
      <c r="GR176" s="43"/>
      <c r="GS176" s="43"/>
      <c r="GT176" s="43"/>
      <c r="GU176" s="43"/>
      <c r="GV176" s="43"/>
      <c r="GW176" s="43"/>
    </row>
    <row r="177" ht="15.0" customHeight="1">
      <c r="A177" s="318"/>
      <c r="B177" s="91"/>
      <c r="C177" s="46"/>
      <c r="D177" s="46"/>
      <c r="E177" s="46"/>
      <c r="F177" s="46"/>
      <c r="G177" s="46"/>
      <c r="H177" s="46"/>
      <c r="I177" s="46"/>
      <c r="J177" s="46"/>
      <c r="K177" s="46"/>
      <c r="L177" s="46"/>
      <c r="M177" s="47"/>
      <c r="N177" s="91"/>
      <c r="O177" s="46"/>
      <c r="P177" s="46"/>
      <c r="Q177" s="47"/>
      <c r="R177" s="91"/>
      <c r="S177" s="46"/>
      <c r="T177" s="46"/>
      <c r="U177" s="47"/>
      <c r="V177" s="91"/>
      <c r="W177" s="46"/>
      <c r="X177" s="46"/>
      <c r="Y177" s="47"/>
      <c r="Z177" s="91"/>
      <c r="AA177" s="46"/>
      <c r="AB177" s="46"/>
      <c r="AC177" s="47"/>
      <c r="AD177" s="91"/>
      <c r="AE177" s="46"/>
      <c r="AF177" s="46"/>
      <c r="AG177" s="46"/>
      <c r="AH177" s="46"/>
      <c r="AI177" s="46"/>
      <c r="AJ177" s="46"/>
      <c r="AK177" s="47"/>
      <c r="AL177" s="127"/>
      <c r="AM177" s="46"/>
      <c r="AN177" s="46"/>
      <c r="AO177" s="46"/>
      <c r="AP177" s="46"/>
      <c r="AQ177" s="46"/>
      <c r="AR177" s="46"/>
      <c r="AS177" s="46"/>
      <c r="AT177" s="46"/>
      <c r="AU177" s="46"/>
      <c r="AV177" s="46"/>
      <c r="AW177" s="47"/>
      <c r="AX177" s="127"/>
      <c r="AY177" s="46"/>
      <c r="AZ177" s="46"/>
      <c r="BA177" s="47"/>
      <c r="BB177" s="127"/>
      <c r="BC177" s="46"/>
      <c r="BD177" s="46"/>
      <c r="BE177" s="47"/>
      <c r="BF177" s="127"/>
      <c r="BG177" s="46"/>
      <c r="BH177" s="46"/>
      <c r="BI177" s="47"/>
      <c r="BJ177" s="127"/>
      <c r="BK177" s="46"/>
      <c r="BL177" s="46"/>
      <c r="BM177" s="47"/>
      <c r="BN177" s="127"/>
      <c r="BO177" s="46"/>
      <c r="BP177" s="46"/>
      <c r="BQ177" s="46"/>
      <c r="BR177" s="46"/>
      <c r="BS177" s="46"/>
      <c r="BT177" s="46"/>
      <c r="BU177" s="47"/>
      <c r="BV177" s="494" t="s">
        <v>838</v>
      </c>
      <c r="BW177" s="49"/>
      <c r="BX177" s="49"/>
      <c r="BY177" s="49"/>
      <c r="BZ177" s="49"/>
      <c r="CA177" s="49"/>
      <c r="CB177" s="49"/>
      <c r="CC177" s="49"/>
      <c r="CD177" s="50"/>
      <c r="CE177" s="498" t="s">
        <v>839</v>
      </c>
      <c r="CF177" s="49"/>
      <c r="CG177" s="49"/>
      <c r="CH177" s="49"/>
      <c r="CI177" s="49"/>
      <c r="CJ177" s="49"/>
      <c r="CK177" s="49"/>
      <c r="CL177" s="49"/>
      <c r="CM177" s="49"/>
      <c r="CN177" s="50"/>
      <c r="CO177" s="43"/>
      <c r="CP177" s="70"/>
      <c r="CQ177" s="57"/>
      <c r="CR177" s="57"/>
      <c r="CS177" s="57"/>
      <c r="CT177" s="57"/>
      <c r="CU177" s="57"/>
      <c r="CV177" s="57"/>
      <c r="CW177" s="57"/>
      <c r="CX177" s="57"/>
      <c r="CY177" s="58"/>
      <c r="CZ177" s="501" t="s">
        <v>527</v>
      </c>
      <c r="DB177" s="510" t="str">
        <f t="shared" ref="DB177:DB182" si="40">O44</f>
        <v>無效</v>
      </c>
      <c r="DD177" s="510" t="str">
        <f t="shared" ref="DD177:DD182" si="41">S44</f>
        <v>X</v>
      </c>
      <c r="DF177" s="510">
        <f t="shared" ref="DF177:DF182" si="42">G44+I44</f>
        <v>0</v>
      </c>
      <c r="DH177" s="510"/>
      <c r="DJ177" s="503"/>
      <c r="DK177" s="53"/>
      <c r="DL177" s="43"/>
      <c r="DM177" s="43"/>
      <c r="DN177" s="43"/>
      <c r="DO177" s="43"/>
      <c r="DP177" s="43"/>
      <c r="DQ177" s="43"/>
      <c r="DR177" s="43"/>
      <c r="DS177" s="43"/>
      <c r="DT177" s="43"/>
      <c r="EG177" s="43"/>
      <c r="EH177" s="43"/>
      <c r="EI177" s="43"/>
      <c r="EJ177" s="43"/>
      <c r="EK177" s="43"/>
      <c r="EL177" s="43"/>
      <c r="EM177" s="43"/>
      <c r="EN177" s="43"/>
      <c r="EO177" s="43"/>
      <c r="EP177" s="43"/>
      <c r="EQ177" s="43"/>
      <c r="ER177" s="43"/>
      <c r="ES177" s="43"/>
      <c r="ET177" s="43"/>
      <c r="EU177" s="43"/>
      <c r="EV177" s="43"/>
      <c r="EW177" s="43"/>
      <c r="EX177" s="43"/>
      <c r="EY177" s="43"/>
      <c r="EZ177" s="43"/>
      <c r="FA177" s="43"/>
      <c r="FB177" s="43"/>
      <c r="FC177" s="43"/>
      <c r="FD177" s="43"/>
      <c r="FE177" s="43"/>
      <c r="FF177" s="43"/>
      <c r="FG177" s="43"/>
      <c r="FH177" s="43"/>
      <c r="FI177" s="43"/>
      <c r="FJ177" s="43"/>
      <c r="FK177" s="43"/>
      <c r="FL177" s="43"/>
      <c r="FM177" s="43"/>
      <c r="FN177" s="43"/>
      <c r="FO177" s="43"/>
      <c r="FP177" s="43"/>
      <c r="FQ177" s="43"/>
      <c r="FR177" s="43"/>
      <c r="FS177" s="43"/>
      <c r="FT177" s="43"/>
      <c r="FU177" s="43"/>
      <c r="FV177" s="43"/>
      <c r="FW177" s="43"/>
      <c r="FX177" s="43"/>
      <c r="FY177" s="43"/>
      <c r="FZ177" s="43"/>
      <c r="GA177" s="43"/>
      <c r="GB177" s="43"/>
      <c r="GC177" s="43"/>
      <c r="GD177" s="43"/>
      <c r="GE177" s="43"/>
      <c r="GF177" s="43"/>
      <c r="GG177" s="43"/>
      <c r="GH177" s="43"/>
      <c r="GI177" s="43"/>
      <c r="GJ177" s="43"/>
      <c r="GK177" s="43"/>
      <c r="GL177" s="43"/>
      <c r="GM177" s="43"/>
      <c r="GN177" s="43"/>
      <c r="GO177" s="43"/>
      <c r="GP177" s="43"/>
      <c r="GQ177" s="43"/>
      <c r="GR177" s="43"/>
      <c r="GS177" s="43"/>
      <c r="GT177" s="43"/>
      <c r="GU177" s="43"/>
      <c r="GV177" s="43"/>
      <c r="GW177" s="43"/>
    </row>
    <row r="178" ht="15.0" customHeight="1">
      <c r="A178" s="318"/>
      <c r="B178" s="91"/>
      <c r="C178" s="46"/>
      <c r="D178" s="46"/>
      <c r="E178" s="46"/>
      <c r="F178" s="46"/>
      <c r="G178" s="46"/>
      <c r="H178" s="46"/>
      <c r="I178" s="46"/>
      <c r="J178" s="46"/>
      <c r="K178" s="46"/>
      <c r="L178" s="46"/>
      <c r="M178" s="47"/>
      <c r="N178" s="91"/>
      <c r="O178" s="46"/>
      <c r="P178" s="46"/>
      <c r="Q178" s="47"/>
      <c r="R178" s="91"/>
      <c r="S178" s="46"/>
      <c r="T178" s="46"/>
      <c r="U178" s="47"/>
      <c r="V178" s="91"/>
      <c r="W178" s="46"/>
      <c r="X178" s="46"/>
      <c r="Y178" s="47"/>
      <c r="Z178" s="91"/>
      <c r="AA178" s="46"/>
      <c r="AB178" s="46"/>
      <c r="AC178" s="47"/>
      <c r="AD178" s="91"/>
      <c r="AE178" s="46"/>
      <c r="AF178" s="46"/>
      <c r="AG178" s="46"/>
      <c r="AH178" s="46"/>
      <c r="AI178" s="46"/>
      <c r="AJ178" s="46"/>
      <c r="AK178" s="47"/>
      <c r="AL178" s="127"/>
      <c r="AM178" s="46"/>
      <c r="AN178" s="46"/>
      <c r="AO178" s="46"/>
      <c r="AP178" s="46"/>
      <c r="AQ178" s="46"/>
      <c r="AR178" s="46"/>
      <c r="AS178" s="46"/>
      <c r="AT178" s="46"/>
      <c r="AU178" s="46"/>
      <c r="AV178" s="46"/>
      <c r="AW178" s="47"/>
      <c r="AX178" s="127"/>
      <c r="AY178" s="46"/>
      <c r="AZ178" s="46"/>
      <c r="BA178" s="47"/>
      <c r="BB178" s="127"/>
      <c r="BC178" s="46"/>
      <c r="BD178" s="46"/>
      <c r="BE178" s="47"/>
      <c r="BF178" s="127"/>
      <c r="BG178" s="46"/>
      <c r="BH178" s="46"/>
      <c r="BI178" s="47"/>
      <c r="BJ178" s="127"/>
      <c r="BK178" s="46"/>
      <c r="BL178" s="46"/>
      <c r="BM178" s="47"/>
      <c r="BN178" s="127"/>
      <c r="BO178" s="46"/>
      <c r="BP178" s="46"/>
      <c r="BQ178" s="46"/>
      <c r="BR178" s="46"/>
      <c r="BS178" s="46"/>
      <c r="BT178" s="46"/>
      <c r="BU178" s="47"/>
      <c r="BV178" s="70"/>
      <c r="BW178" s="57"/>
      <c r="BX178" s="57"/>
      <c r="BY178" s="57"/>
      <c r="BZ178" s="57"/>
      <c r="CA178" s="57"/>
      <c r="CB178" s="57"/>
      <c r="CC178" s="57"/>
      <c r="CD178" s="58"/>
      <c r="CE178" s="59"/>
      <c r="CN178" s="60"/>
      <c r="CO178" s="43"/>
      <c r="CP178" s="43"/>
      <c r="CQ178" s="43"/>
      <c r="CR178" s="43"/>
      <c r="CS178" s="43"/>
      <c r="CT178" s="43"/>
      <c r="CU178" s="43"/>
      <c r="CV178" s="43"/>
      <c r="CW178" s="43"/>
      <c r="CX178" s="43"/>
      <c r="CY178" s="500"/>
      <c r="CZ178" s="501" t="s">
        <v>535</v>
      </c>
      <c r="DB178" s="510" t="str">
        <f t="shared" si="40"/>
        <v>無效</v>
      </c>
      <c r="DD178" s="510" t="str">
        <f t="shared" si="41"/>
        <v>X</v>
      </c>
      <c r="DF178" s="510">
        <f t="shared" si="42"/>
        <v>0</v>
      </c>
      <c r="DH178" s="510"/>
      <c r="DJ178" s="503"/>
      <c r="DK178" s="53"/>
      <c r="DL178" s="43"/>
      <c r="DM178" s="43"/>
      <c r="DN178" s="43"/>
      <c r="DO178" s="43"/>
      <c r="DP178" s="43"/>
      <c r="DQ178" s="43"/>
      <c r="DR178" s="43"/>
      <c r="DS178" s="43"/>
      <c r="DT178" s="43"/>
      <c r="EG178" s="43"/>
      <c r="EH178" s="43"/>
      <c r="EI178" s="43"/>
      <c r="EJ178" s="43"/>
      <c r="EK178" s="43"/>
      <c r="EL178" s="43"/>
      <c r="EM178" s="43"/>
      <c r="EN178" s="43"/>
      <c r="EO178" s="43"/>
      <c r="EP178" s="43"/>
      <c r="EQ178" s="43"/>
      <c r="ER178" s="43"/>
      <c r="ES178" s="43"/>
      <c r="ET178" s="43"/>
      <c r="EU178" s="43"/>
      <c r="EV178" s="43"/>
      <c r="EW178" s="43"/>
      <c r="EX178" s="43"/>
      <c r="EY178" s="43"/>
      <c r="EZ178" s="43"/>
      <c r="FA178" s="43"/>
      <c r="FB178" s="43"/>
      <c r="FC178" s="43"/>
      <c r="FD178" s="43"/>
      <c r="FE178" s="43"/>
      <c r="FF178" s="43"/>
      <c r="FG178" s="43"/>
      <c r="FH178" s="43"/>
      <c r="FI178" s="43"/>
      <c r="FJ178" s="43"/>
      <c r="FK178" s="43"/>
      <c r="FL178" s="43"/>
      <c r="FM178" s="43"/>
      <c r="FN178" s="43"/>
      <c r="FO178" s="43"/>
      <c r="FP178" s="43"/>
      <c r="FQ178" s="43"/>
      <c r="FR178" s="43"/>
      <c r="FS178" s="43"/>
      <c r="FT178" s="43"/>
      <c r="FU178" s="43"/>
      <c r="FV178" s="43"/>
      <c r="FW178" s="43"/>
      <c r="FX178" s="43"/>
      <c r="FY178" s="43"/>
      <c r="FZ178" s="43"/>
      <c r="GA178" s="43"/>
      <c r="GB178" s="43"/>
      <c r="GC178" s="43"/>
      <c r="GD178" s="43"/>
      <c r="GE178" s="43"/>
      <c r="GF178" s="43"/>
      <c r="GG178" s="43"/>
      <c r="GH178" s="43"/>
      <c r="GI178" s="43"/>
      <c r="GJ178" s="43"/>
      <c r="GK178" s="43"/>
      <c r="GL178" s="43"/>
      <c r="GM178" s="43"/>
      <c r="GN178" s="43"/>
      <c r="GO178" s="43"/>
      <c r="GP178" s="43"/>
      <c r="GQ178" s="43"/>
      <c r="GR178" s="43"/>
      <c r="GS178" s="43"/>
      <c r="GT178" s="43"/>
      <c r="GU178" s="43"/>
      <c r="GV178" s="43"/>
      <c r="GW178" s="43"/>
    </row>
    <row r="179" ht="15.0" customHeight="1">
      <c r="A179" s="318"/>
      <c r="B179" s="91"/>
      <c r="C179" s="46"/>
      <c r="D179" s="46"/>
      <c r="E179" s="46"/>
      <c r="F179" s="46"/>
      <c r="G179" s="46"/>
      <c r="H179" s="46"/>
      <c r="I179" s="46"/>
      <c r="J179" s="46"/>
      <c r="K179" s="46"/>
      <c r="L179" s="46"/>
      <c r="M179" s="47"/>
      <c r="N179" s="91"/>
      <c r="O179" s="46"/>
      <c r="P179" s="46"/>
      <c r="Q179" s="47"/>
      <c r="R179" s="91"/>
      <c r="S179" s="46"/>
      <c r="T179" s="46"/>
      <c r="U179" s="47"/>
      <c r="V179" s="91"/>
      <c r="W179" s="46"/>
      <c r="X179" s="46"/>
      <c r="Y179" s="47"/>
      <c r="Z179" s="91"/>
      <c r="AA179" s="46"/>
      <c r="AB179" s="46"/>
      <c r="AC179" s="47"/>
      <c r="AD179" s="91"/>
      <c r="AE179" s="46"/>
      <c r="AF179" s="46"/>
      <c r="AG179" s="46"/>
      <c r="AH179" s="46"/>
      <c r="AI179" s="46"/>
      <c r="AJ179" s="46"/>
      <c r="AK179" s="47"/>
      <c r="AL179" s="127"/>
      <c r="AM179" s="46"/>
      <c r="AN179" s="46"/>
      <c r="AO179" s="46"/>
      <c r="AP179" s="46"/>
      <c r="AQ179" s="46"/>
      <c r="AR179" s="46"/>
      <c r="AS179" s="46"/>
      <c r="AT179" s="46"/>
      <c r="AU179" s="46"/>
      <c r="AV179" s="46"/>
      <c r="AW179" s="47"/>
      <c r="AX179" s="127"/>
      <c r="AY179" s="46"/>
      <c r="AZ179" s="46"/>
      <c r="BA179" s="47"/>
      <c r="BB179" s="127"/>
      <c r="BC179" s="46"/>
      <c r="BD179" s="46"/>
      <c r="BE179" s="47"/>
      <c r="BF179" s="127"/>
      <c r="BG179" s="46"/>
      <c r="BH179" s="46"/>
      <c r="BI179" s="47"/>
      <c r="BJ179" s="127"/>
      <c r="BK179" s="46"/>
      <c r="BL179" s="46"/>
      <c r="BM179" s="47"/>
      <c r="BN179" s="127"/>
      <c r="BO179" s="46"/>
      <c r="BP179" s="46"/>
      <c r="BQ179" s="46"/>
      <c r="BR179" s="46"/>
      <c r="BS179" s="46"/>
      <c r="BT179" s="46"/>
      <c r="BU179" s="47"/>
      <c r="BV179" s="496" t="s">
        <v>843</v>
      </c>
      <c r="BW179" s="49"/>
      <c r="BX179" s="50"/>
      <c r="BY179" s="496" t="s">
        <v>844</v>
      </c>
      <c r="BZ179" s="50"/>
      <c r="CA179" s="496" t="s">
        <v>845</v>
      </c>
      <c r="CB179" s="50"/>
      <c r="CC179" s="496" t="s">
        <v>413</v>
      </c>
      <c r="CD179" s="50"/>
      <c r="CE179" s="518" t="s">
        <v>846</v>
      </c>
      <c r="CK179" s="520" t="s">
        <v>6</v>
      </c>
      <c r="CN179" s="60"/>
      <c r="CO179" s="43"/>
      <c r="CP179" s="498" t="s">
        <v>847</v>
      </c>
      <c r="CQ179" s="49"/>
      <c r="CR179" s="49"/>
      <c r="CS179" s="49"/>
      <c r="CT179" s="49"/>
      <c r="CU179" s="49"/>
      <c r="CV179" s="49"/>
      <c r="CW179" s="49"/>
      <c r="CX179" s="49"/>
      <c r="CY179" s="50"/>
      <c r="CZ179" s="501" t="s">
        <v>549</v>
      </c>
      <c r="DB179" s="510" t="str">
        <f t="shared" si="40"/>
        <v>無效</v>
      </c>
      <c r="DD179" s="510" t="str">
        <f t="shared" si="41"/>
        <v>X</v>
      </c>
      <c r="DF179" s="510">
        <f t="shared" si="42"/>
        <v>0</v>
      </c>
      <c r="DH179" s="510"/>
      <c r="DJ179" s="503"/>
      <c r="DK179" s="53"/>
      <c r="DL179" s="43"/>
      <c r="DM179" s="43"/>
      <c r="DN179" s="43"/>
      <c r="DO179" s="43"/>
      <c r="DP179" s="43"/>
      <c r="DQ179" s="43"/>
      <c r="DR179" s="43"/>
      <c r="DS179" s="43"/>
      <c r="DT179" s="43"/>
      <c r="EG179" s="43"/>
      <c r="EH179" s="43"/>
      <c r="EI179" s="43"/>
      <c r="EJ179" s="43"/>
      <c r="EK179" s="43"/>
      <c r="EL179" s="43"/>
      <c r="EM179" s="43"/>
      <c r="EN179" s="43"/>
      <c r="EO179" s="43"/>
      <c r="EP179" s="43"/>
      <c r="EQ179" s="43"/>
      <c r="ER179" s="43"/>
      <c r="ES179" s="43"/>
      <c r="ET179" s="43"/>
      <c r="EU179" s="43"/>
      <c r="EV179" s="43"/>
      <c r="EW179" s="43"/>
      <c r="EX179" s="43"/>
      <c r="EY179" s="43"/>
      <c r="EZ179" s="43"/>
      <c r="FA179" s="43"/>
      <c r="FB179" s="43"/>
      <c r="FC179" s="43"/>
      <c r="FD179" s="43"/>
      <c r="FE179" s="43"/>
      <c r="FF179" s="43"/>
      <c r="FG179" s="43"/>
      <c r="FH179" s="43"/>
      <c r="FI179" s="43"/>
      <c r="FJ179" s="43"/>
      <c r="FK179" s="43"/>
      <c r="FL179" s="43"/>
      <c r="FM179" s="43"/>
      <c r="FN179" s="43"/>
      <c r="FO179" s="43"/>
      <c r="FP179" s="43"/>
      <c r="FQ179" s="43"/>
      <c r="FR179" s="43"/>
      <c r="FS179" s="43"/>
      <c r="FT179" s="43"/>
      <c r="FU179" s="43"/>
      <c r="FV179" s="43"/>
      <c r="FW179" s="43"/>
      <c r="FX179" s="43"/>
      <c r="FY179" s="43"/>
      <c r="FZ179" s="43"/>
      <c r="GA179" s="43"/>
      <c r="GB179" s="43"/>
      <c r="GC179" s="43"/>
      <c r="GD179" s="43"/>
      <c r="GE179" s="43"/>
      <c r="GF179" s="43"/>
      <c r="GG179" s="43"/>
      <c r="GH179" s="43"/>
      <c r="GI179" s="43"/>
      <c r="GJ179" s="43"/>
      <c r="GK179" s="43"/>
      <c r="GL179" s="43"/>
      <c r="GM179" s="43"/>
      <c r="GN179" s="43"/>
      <c r="GO179" s="43"/>
      <c r="GP179" s="43"/>
      <c r="GQ179" s="43"/>
      <c r="GR179" s="43"/>
      <c r="GS179" s="43"/>
      <c r="GT179" s="43"/>
      <c r="GU179" s="43"/>
      <c r="GV179" s="43"/>
      <c r="GW179" s="43"/>
    </row>
    <row r="180" ht="15.0" customHeight="1">
      <c r="A180" s="318"/>
      <c r="B180" s="91"/>
      <c r="C180" s="46"/>
      <c r="D180" s="46"/>
      <c r="E180" s="46"/>
      <c r="F180" s="46"/>
      <c r="G180" s="46"/>
      <c r="H180" s="46"/>
      <c r="I180" s="46"/>
      <c r="J180" s="46"/>
      <c r="K180" s="46"/>
      <c r="L180" s="46"/>
      <c r="M180" s="47"/>
      <c r="N180" s="91"/>
      <c r="O180" s="46"/>
      <c r="P180" s="46"/>
      <c r="Q180" s="47"/>
      <c r="R180" s="91"/>
      <c r="S180" s="46"/>
      <c r="T180" s="46"/>
      <c r="U180" s="47"/>
      <c r="V180" s="91"/>
      <c r="W180" s="46"/>
      <c r="X180" s="46"/>
      <c r="Y180" s="47"/>
      <c r="Z180" s="91"/>
      <c r="AA180" s="46"/>
      <c r="AB180" s="46"/>
      <c r="AC180" s="47"/>
      <c r="AD180" s="91"/>
      <c r="AE180" s="46"/>
      <c r="AF180" s="46"/>
      <c r="AG180" s="46"/>
      <c r="AH180" s="46"/>
      <c r="AI180" s="46"/>
      <c r="AJ180" s="46"/>
      <c r="AK180" s="47"/>
      <c r="AL180" s="127"/>
      <c r="AM180" s="46"/>
      <c r="AN180" s="46"/>
      <c r="AO180" s="46"/>
      <c r="AP180" s="46"/>
      <c r="AQ180" s="46"/>
      <c r="AR180" s="46"/>
      <c r="AS180" s="46"/>
      <c r="AT180" s="46"/>
      <c r="AU180" s="46"/>
      <c r="AV180" s="46"/>
      <c r="AW180" s="47"/>
      <c r="AX180" s="127"/>
      <c r="AY180" s="46"/>
      <c r="AZ180" s="46"/>
      <c r="BA180" s="47"/>
      <c r="BB180" s="127"/>
      <c r="BC180" s="46"/>
      <c r="BD180" s="46"/>
      <c r="BE180" s="47"/>
      <c r="BF180" s="127"/>
      <c r="BG180" s="46"/>
      <c r="BH180" s="46"/>
      <c r="BI180" s="47"/>
      <c r="BJ180" s="127"/>
      <c r="BK180" s="46"/>
      <c r="BL180" s="46"/>
      <c r="BM180" s="47"/>
      <c r="BN180" s="127"/>
      <c r="BO180" s="46"/>
      <c r="BP180" s="46"/>
      <c r="BQ180" s="46"/>
      <c r="BR180" s="46"/>
      <c r="BS180" s="46"/>
      <c r="BT180" s="46"/>
      <c r="BU180" s="47"/>
      <c r="BV180" s="70"/>
      <c r="BW180" s="57"/>
      <c r="BX180" s="58"/>
      <c r="BY180" s="70"/>
      <c r="BZ180" s="58"/>
      <c r="CA180" s="70"/>
      <c r="CB180" s="58"/>
      <c r="CC180" s="70"/>
      <c r="CD180" s="58"/>
      <c r="CE180" s="59"/>
      <c r="CN180" s="60"/>
      <c r="CO180" s="43"/>
      <c r="CP180" s="59"/>
      <c r="CY180" s="60"/>
      <c r="CZ180" s="501" t="s">
        <v>554</v>
      </c>
      <c r="DB180" s="510" t="str">
        <f t="shared" si="40"/>
        <v>無效</v>
      </c>
      <c r="DD180" s="510" t="str">
        <f t="shared" si="41"/>
        <v>X</v>
      </c>
      <c r="DF180" s="510">
        <f t="shared" si="42"/>
        <v>0</v>
      </c>
      <c r="DH180" s="510"/>
      <c r="DJ180" s="503"/>
      <c r="DK180" s="53"/>
      <c r="DL180" s="43"/>
      <c r="DM180" s="43"/>
      <c r="DN180" s="43"/>
      <c r="DO180" s="43"/>
      <c r="DP180" s="43"/>
      <c r="DQ180" s="43"/>
      <c r="DR180" s="43"/>
      <c r="DS180" s="43"/>
      <c r="DT180" s="43"/>
      <c r="EG180" s="43"/>
      <c r="EH180" s="43"/>
      <c r="EI180" s="43"/>
      <c r="EJ180" s="43"/>
      <c r="EK180" s="43"/>
      <c r="EL180" s="43"/>
      <c r="EM180" s="43"/>
      <c r="EN180" s="43"/>
      <c r="EO180" s="43"/>
      <c r="EP180" s="43"/>
      <c r="EQ180" s="43"/>
      <c r="ER180" s="43"/>
      <c r="ES180" s="43"/>
      <c r="ET180" s="43"/>
      <c r="EU180" s="43"/>
      <c r="EV180" s="43"/>
      <c r="EW180" s="43"/>
      <c r="EX180" s="43"/>
      <c r="EY180" s="43"/>
      <c r="EZ180" s="43"/>
      <c r="FA180" s="43"/>
      <c r="FB180" s="43"/>
      <c r="FC180" s="43"/>
      <c r="FD180" s="43"/>
      <c r="FE180" s="43"/>
      <c r="FF180" s="43"/>
      <c r="FG180" s="43"/>
      <c r="FH180" s="43"/>
      <c r="FI180" s="43"/>
      <c r="FJ180" s="43"/>
      <c r="FK180" s="43"/>
      <c r="FL180" s="43"/>
      <c r="FM180" s="43"/>
      <c r="FN180" s="43"/>
      <c r="FO180" s="43"/>
      <c r="FP180" s="43"/>
      <c r="FQ180" s="43"/>
      <c r="FR180" s="43"/>
      <c r="FS180" s="43"/>
      <c r="FT180" s="43"/>
      <c r="FU180" s="43"/>
      <c r="FV180" s="43"/>
      <c r="FW180" s="43"/>
      <c r="FX180" s="43"/>
      <c r="FY180" s="43"/>
      <c r="FZ180" s="43"/>
      <c r="GA180" s="43"/>
      <c r="GB180" s="43"/>
      <c r="GC180" s="43"/>
      <c r="GD180" s="43"/>
      <c r="GE180" s="43"/>
      <c r="GF180" s="43"/>
      <c r="GG180" s="43"/>
      <c r="GH180" s="43"/>
      <c r="GI180" s="43"/>
      <c r="GJ180" s="43"/>
      <c r="GK180" s="43"/>
      <c r="GL180" s="43"/>
      <c r="GM180" s="43"/>
      <c r="GN180" s="43"/>
      <c r="GO180" s="43"/>
      <c r="GP180" s="43"/>
      <c r="GQ180" s="43"/>
      <c r="GR180" s="43"/>
      <c r="GS180" s="43"/>
      <c r="GT180" s="43"/>
      <c r="GU180" s="43"/>
      <c r="GV180" s="43"/>
      <c r="GW180" s="43"/>
    </row>
    <row r="181" ht="15.0" customHeight="1">
      <c r="A181" s="318"/>
      <c r="B181" s="91"/>
      <c r="C181" s="46"/>
      <c r="D181" s="46"/>
      <c r="E181" s="46"/>
      <c r="F181" s="46"/>
      <c r="G181" s="46"/>
      <c r="H181" s="46"/>
      <c r="I181" s="46"/>
      <c r="J181" s="46"/>
      <c r="K181" s="46"/>
      <c r="L181" s="46"/>
      <c r="M181" s="47"/>
      <c r="N181" s="91"/>
      <c r="O181" s="46"/>
      <c r="P181" s="46"/>
      <c r="Q181" s="47"/>
      <c r="R181" s="91"/>
      <c r="S181" s="46"/>
      <c r="T181" s="46"/>
      <c r="U181" s="47"/>
      <c r="V181" s="91"/>
      <c r="W181" s="46"/>
      <c r="X181" s="46"/>
      <c r="Y181" s="47"/>
      <c r="Z181" s="91"/>
      <c r="AA181" s="46"/>
      <c r="AB181" s="46"/>
      <c r="AC181" s="47"/>
      <c r="AD181" s="91"/>
      <c r="AE181" s="46"/>
      <c r="AF181" s="46"/>
      <c r="AG181" s="46"/>
      <c r="AH181" s="46"/>
      <c r="AI181" s="46"/>
      <c r="AJ181" s="46"/>
      <c r="AK181" s="47"/>
      <c r="AL181" s="127"/>
      <c r="AM181" s="46"/>
      <c r="AN181" s="46"/>
      <c r="AO181" s="46"/>
      <c r="AP181" s="46"/>
      <c r="AQ181" s="46"/>
      <c r="AR181" s="46"/>
      <c r="AS181" s="46"/>
      <c r="AT181" s="46"/>
      <c r="AU181" s="46"/>
      <c r="AV181" s="46"/>
      <c r="AW181" s="47"/>
      <c r="AX181" s="127"/>
      <c r="AY181" s="46"/>
      <c r="AZ181" s="46"/>
      <c r="BA181" s="47"/>
      <c r="BB181" s="127"/>
      <c r="BC181" s="46"/>
      <c r="BD181" s="46"/>
      <c r="BE181" s="47"/>
      <c r="BF181" s="127"/>
      <c r="BG181" s="46"/>
      <c r="BH181" s="46"/>
      <c r="BI181" s="47"/>
      <c r="BJ181" s="127"/>
      <c r="BK181" s="46"/>
      <c r="BL181" s="46"/>
      <c r="BM181" s="47"/>
      <c r="BN181" s="127"/>
      <c r="BO181" s="46"/>
      <c r="BP181" s="46"/>
      <c r="BQ181" s="46"/>
      <c r="BR181" s="46"/>
      <c r="BS181" s="46"/>
      <c r="BT181" s="46"/>
      <c r="BU181" s="47"/>
      <c r="BV181" s="496" t="s">
        <v>687</v>
      </c>
      <c r="BW181" s="49"/>
      <c r="BX181" s="50"/>
      <c r="BY181" s="496">
        <f>SUM(LEN(CONCATENATE($N$155:$Q191))-LEN(SUBSTITUTE(CONCATENATE($N$155:$Q191),"D","")))-SUM(LEN(CONCATENATE($Z$155:$AC191))-LEN(SUBSTITUTE(CONCATENATE($Z$155:$AC191),"D","")))</f>
        <v>0</v>
      </c>
      <c r="BZ181" s="50"/>
      <c r="CA181" s="496">
        <f>SUM(LEN(CONCATENATE($AX$155:$BA191))-LEN(SUBSTITUTE(CONCATENATE($AX$155:$BA191),"D","")))-SUM(LEN(CONCATENATE($BJ$155:$BM191))-LEN(SUBSTITUTE(CONCATENATE($BJ$155:$BM191),"D","")))</f>
        <v>0</v>
      </c>
      <c r="CB181" s="50"/>
      <c r="CC181" s="496">
        <f>BY181+CA181</f>
        <v>0</v>
      </c>
      <c r="CD181" s="50"/>
      <c r="CE181" s="518" t="s">
        <v>848</v>
      </c>
      <c r="CK181" s="526"/>
      <c r="CN181" s="60"/>
      <c r="CO181" s="43"/>
      <c r="CP181" s="518" t="s">
        <v>846</v>
      </c>
      <c r="CV181" s="520" t="s">
        <v>6</v>
      </c>
      <c r="CY181" s="60"/>
      <c r="CZ181" s="501" t="s">
        <v>559</v>
      </c>
      <c r="DB181" s="510">
        <f t="shared" si="40"/>
        <v>0</v>
      </c>
      <c r="DD181" s="510">
        <f t="shared" si="41"/>
        <v>-2</v>
      </c>
      <c r="DF181" s="510">
        <f t="shared" si="42"/>
        <v>0</v>
      </c>
      <c r="DH181" s="510"/>
      <c r="DJ181" s="503"/>
      <c r="DK181" s="53"/>
      <c r="DL181" s="43"/>
      <c r="DM181" s="43"/>
      <c r="DN181" s="43"/>
      <c r="DO181" s="43"/>
      <c r="DP181" s="43"/>
      <c r="DQ181" s="43"/>
      <c r="DR181" s="43"/>
      <c r="DS181" s="43"/>
      <c r="DT181" s="43"/>
      <c r="EG181" s="43"/>
      <c r="EH181" s="43"/>
      <c r="EI181" s="43"/>
      <c r="EJ181" s="43"/>
      <c r="EK181" s="43"/>
      <c r="EL181" s="43"/>
      <c r="EM181" s="43"/>
      <c r="EN181" s="43"/>
      <c r="EO181" s="43"/>
      <c r="EP181" s="43"/>
      <c r="EQ181" s="43"/>
      <c r="ER181" s="43"/>
      <c r="ES181" s="43"/>
      <c r="ET181" s="43"/>
      <c r="EU181" s="43"/>
      <c r="EV181" s="43"/>
      <c r="EW181" s="43"/>
      <c r="EX181" s="43"/>
      <c r="EY181" s="43"/>
      <c r="EZ181" s="43"/>
      <c r="FA181" s="43"/>
      <c r="FB181" s="43"/>
      <c r="FC181" s="43"/>
      <c r="FD181" s="43"/>
      <c r="FE181" s="43"/>
      <c r="FF181" s="43"/>
      <c r="FG181" s="43"/>
      <c r="FH181" s="43"/>
      <c r="FI181" s="43"/>
      <c r="FJ181" s="43"/>
      <c r="FK181" s="43"/>
      <c r="FL181" s="43"/>
      <c r="FM181" s="43"/>
      <c r="FN181" s="43"/>
      <c r="FO181" s="43"/>
      <c r="FP181" s="43"/>
      <c r="FQ181" s="43"/>
      <c r="FR181" s="43"/>
      <c r="FS181" s="43"/>
      <c r="FT181" s="43"/>
      <c r="FU181" s="43"/>
      <c r="FV181" s="43"/>
      <c r="FW181" s="43"/>
      <c r="FX181" s="43"/>
      <c r="FY181" s="43"/>
      <c r="FZ181" s="43"/>
      <c r="GA181" s="43"/>
      <c r="GB181" s="43"/>
      <c r="GC181" s="43"/>
      <c r="GD181" s="43"/>
      <c r="GE181" s="43"/>
      <c r="GF181" s="43"/>
      <c r="GG181" s="43"/>
      <c r="GH181" s="43"/>
      <c r="GI181" s="43"/>
      <c r="GJ181" s="43"/>
      <c r="GK181" s="43"/>
      <c r="GL181" s="43"/>
      <c r="GM181" s="43"/>
      <c r="GN181" s="43"/>
      <c r="GO181" s="43"/>
      <c r="GP181" s="43"/>
      <c r="GQ181" s="43"/>
      <c r="GR181" s="43"/>
      <c r="GS181" s="43"/>
      <c r="GT181" s="43"/>
      <c r="GU181" s="43"/>
      <c r="GV181" s="43"/>
      <c r="GW181" s="43"/>
    </row>
    <row r="182" ht="15.0" customHeight="1">
      <c r="A182" s="318"/>
      <c r="B182" s="91"/>
      <c r="C182" s="46"/>
      <c r="D182" s="46"/>
      <c r="E182" s="46"/>
      <c r="F182" s="46"/>
      <c r="G182" s="46"/>
      <c r="H182" s="46"/>
      <c r="I182" s="46"/>
      <c r="J182" s="46"/>
      <c r="K182" s="46"/>
      <c r="L182" s="46"/>
      <c r="M182" s="47"/>
      <c r="N182" s="91"/>
      <c r="O182" s="46"/>
      <c r="P182" s="46"/>
      <c r="Q182" s="47"/>
      <c r="R182" s="91"/>
      <c r="S182" s="46"/>
      <c r="T182" s="46"/>
      <c r="U182" s="47"/>
      <c r="V182" s="91"/>
      <c r="W182" s="46"/>
      <c r="X182" s="46"/>
      <c r="Y182" s="47"/>
      <c r="Z182" s="91"/>
      <c r="AA182" s="46"/>
      <c r="AB182" s="46"/>
      <c r="AC182" s="47"/>
      <c r="AD182" s="91"/>
      <c r="AE182" s="46"/>
      <c r="AF182" s="46"/>
      <c r="AG182" s="46"/>
      <c r="AH182" s="46"/>
      <c r="AI182" s="46"/>
      <c r="AJ182" s="46"/>
      <c r="AK182" s="47"/>
      <c r="AL182" s="127"/>
      <c r="AM182" s="46"/>
      <c r="AN182" s="46"/>
      <c r="AO182" s="46"/>
      <c r="AP182" s="46"/>
      <c r="AQ182" s="46"/>
      <c r="AR182" s="46"/>
      <c r="AS182" s="46"/>
      <c r="AT182" s="46"/>
      <c r="AU182" s="46"/>
      <c r="AV182" s="46"/>
      <c r="AW182" s="47"/>
      <c r="AX182" s="127"/>
      <c r="AY182" s="46"/>
      <c r="AZ182" s="46"/>
      <c r="BA182" s="47"/>
      <c r="BB182" s="127"/>
      <c r="BC182" s="46"/>
      <c r="BD182" s="46"/>
      <c r="BE182" s="47"/>
      <c r="BF182" s="127"/>
      <c r="BG182" s="46"/>
      <c r="BH182" s="46"/>
      <c r="BI182" s="47"/>
      <c r="BJ182" s="127"/>
      <c r="BK182" s="46"/>
      <c r="BL182" s="46"/>
      <c r="BM182" s="47"/>
      <c r="BN182" s="127"/>
      <c r="BO182" s="46"/>
      <c r="BP182" s="46"/>
      <c r="BQ182" s="46"/>
      <c r="BR182" s="46"/>
      <c r="BS182" s="46"/>
      <c r="BT182" s="46"/>
      <c r="BU182" s="47"/>
      <c r="BV182" s="70"/>
      <c r="BW182" s="57"/>
      <c r="BX182" s="58"/>
      <c r="BY182" s="70"/>
      <c r="BZ182" s="58"/>
      <c r="CA182" s="70"/>
      <c r="CB182" s="58"/>
      <c r="CC182" s="70"/>
      <c r="CD182" s="58"/>
      <c r="CE182" s="59"/>
      <c r="CN182" s="60"/>
      <c r="CO182" s="43"/>
      <c r="CP182" s="59"/>
      <c r="CY182" s="60"/>
      <c r="CZ182" s="501" t="s">
        <v>566</v>
      </c>
      <c r="DB182" s="510">
        <f t="shared" si="40"/>
        <v>0</v>
      </c>
      <c r="DD182" s="510">
        <f t="shared" si="41"/>
        <v>-2</v>
      </c>
      <c r="DF182" s="510">
        <f t="shared" si="42"/>
        <v>0</v>
      </c>
      <c r="DH182" s="510"/>
      <c r="DJ182" s="503"/>
      <c r="DK182" s="53"/>
      <c r="DL182" s="43"/>
      <c r="DM182" s="43"/>
      <c r="DN182" s="43"/>
      <c r="DO182" s="43"/>
      <c r="DP182" s="43"/>
      <c r="DQ182" s="43"/>
      <c r="DR182" s="43"/>
      <c r="DS182" s="43"/>
      <c r="DT182" s="43"/>
      <c r="EG182" s="43"/>
      <c r="EH182" s="43"/>
      <c r="EI182" s="43"/>
      <c r="EJ182" s="43"/>
      <c r="EK182" s="43"/>
      <c r="EL182" s="43"/>
      <c r="EM182" s="43"/>
      <c r="EN182" s="43"/>
      <c r="EO182" s="43"/>
      <c r="EP182" s="43"/>
      <c r="EQ182" s="43"/>
      <c r="ER182" s="43"/>
      <c r="ES182" s="43"/>
      <c r="ET182" s="43"/>
      <c r="EU182" s="43"/>
      <c r="EV182" s="43"/>
      <c r="EW182" s="43"/>
      <c r="EX182" s="43"/>
      <c r="EY182" s="43"/>
      <c r="EZ182" s="43"/>
      <c r="FA182" s="43"/>
      <c r="FB182" s="43"/>
      <c r="FC182" s="43"/>
      <c r="FD182" s="43"/>
      <c r="FE182" s="43"/>
      <c r="FF182" s="43"/>
      <c r="FG182" s="43"/>
      <c r="FH182" s="43"/>
      <c r="FI182" s="43"/>
      <c r="FJ182" s="43"/>
      <c r="FK182" s="43"/>
      <c r="FL182" s="43"/>
      <c r="FM182" s="43"/>
      <c r="FN182" s="43"/>
      <c r="FO182" s="43"/>
      <c r="FP182" s="43"/>
      <c r="FQ182" s="43"/>
      <c r="FR182" s="43"/>
      <c r="FS182" s="43"/>
      <c r="FT182" s="43"/>
      <c r="FU182" s="43"/>
      <c r="FV182" s="43"/>
      <c r="FW182" s="43"/>
      <c r="FX182" s="43"/>
      <c r="FY182" s="43"/>
      <c r="FZ182" s="43"/>
      <c r="GA182" s="43"/>
      <c r="GB182" s="43"/>
      <c r="GC182" s="43"/>
      <c r="GD182" s="43"/>
      <c r="GE182" s="43"/>
      <c r="GF182" s="43"/>
      <c r="GG182" s="43"/>
      <c r="GH182" s="43"/>
      <c r="GI182" s="43"/>
      <c r="GJ182" s="43"/>
      <c r="GK182" s="43"/>
      <c r="GL182" s="43"/>
      <c r="GM182" s="43"/>
      <c r="GN182" s="43"/>
      <c r="GO182" s="43"/>
      <c r="GP182" s="43"/>
      <c r="GQ182" s="43"/>
      <c r="GR182" s="43"/>
      <c r="GS182" s="43"/>
      <c r="GT182" s="43"/>
      <c r="GU182" s="43"/>
      <c r="GV182" s="43"/>
      <c r="GW182" s="43"/>
    </row>
    <row r="183" ht="15.0" customHeight="1">
      <c r="A183" s="318"/>
      <c r="B183" s="91"/>
      <c r="C183" s="46"/>
      <c r="D183" s="46"/>
      <c r="E183" s="46"/>
      <c r="F183" s="46"/>
      <c r="G183" s="46"/>
      <c r="H183" s="46"/>
      <c r="I183" s="46"/>
      <c r="J183" s="46"/>
      <c r="K183" s="46"/>
      <c r="L183" s="46"/>
      <c r="M183" s="47"/>
      <c r="N183" s="91"/>
      <c r="O183" s="46"/>
      <c r="P183" s="46"/>
      <c r="Q183" s="47"/>
      <c r="R183" s="91"/>
      <c r="S183" s="46"/>
      <c r="T183" s="46"/>
      <c r="U183" s="47"/>
      <c r="V183" s="91"/>
      <c r="W183" s="46"/>
      <c r="X183" s="46"/>
      <c r="Y183" s="47"/>
      <c r="Z183" s="91"/>
      <c r="AA183" s="46"/>
      <c r="AB183" s="46"/>
      <c r="AC183" s="47"/>
      <c r="AD183" s="91"/>
      <c r="AE183" s="46"/>
      <c r="AF183" s="46"/>
      <c r="AG183" s="46"/>
      <c r="AH183" s="46"/>
      <c r="AI183" s="46"/>
      <c r="AJ183" s="46"/>
      <c r="AK183" s="47"/>
      <c r="AL183" s="127"/>
      <c r="AM183" s="46"/>
      <c r="AN183" s="46"/>
      <c r="AO183" s="46"/>
      <c r="AP183" s="46"/>
      <c r="AQ183" s="46"/>
      <c r="AR183" s="46"/>
      <c r="AS183" s="46"/>
      <c r="AT183" s="46"/>
      <c r="AU183" s="46"/>
      <c r="AV183" s="46"/>
      <c r="AW183" s="47"/>
      <c r="AX183" s="127"/>
      <c r="AY183" s="46"/>
      <c r="AZ183" s="46"/>
      <c r="BA183" s="47"/>
      <c r="BB183" s="127"/>
      <c r="BC183" s="46"/>
      <c r="BD183" s="46"/>
      <c r="BE183" s="47"/>
      <c r="BF183" s="127"/>
      <c r="BG183" s="46"/>
      <c r="BH183" s="46"/>
      <c r="BI183" s="47"/>
      <c r="BJ183" s="127"/>
      <c r="BK183" s="46"/>
      <c r="BL183" s="46"/>
      <c r="BM183" s="47"/>
      <c r="BN183" s="127"/>
      <c r="BO183" s="46"/>
      <c r="BP183" s="46"/>
      <c r="BQ183" s="46"/>
      <c r="BR183" s="46"/>
      <c r="BS183" s="46"/>
      <c r="BT183" s="46"/>
      <c r="BU183" s="47"/>
      <c r="BV183" s="496" t="s">
        <v>714</v>
      </c>
      <c r="BW183" s="49"/>
      <c r="BX183" s="50"/>
      <c r="BY183" s="496">
        <f>SUM(LEN(CONCATENATE($N$155:$Q191))-LEN(SUBSTITUTE(CONCATENATE($N$155:$Q191),"C","")))-SUM(LEN(CONCATENATE($Z$155:$AC191))-LEN(SUBSTITUTE(CONCATENATE($Z$155:$AC191),"C","")))</f>
        <v>0</v>
      </c>
      <c r="BZ183" s="50"/>
      <c r="CA183" s="496">
        <f>SUM(LEN(CONCATENATE($AX$155:$BA191))-LEN(SUBSTITUTE(CONCATENATE($AX$155:$BA191),"C","")))-SUM(LEN(CONCATENATE($BJ$155:$BM191))-LEN(SUBSTITUTE(CONCATENATE($BJ$155:$BM191),"C","")))</f>
        <v>0</v>
      </c>
      <c r="CB183" s="50"/>
      <c r="CC183" s="496">
        <f>BY183+CA183</f>
        <v>0</v>
      </c>
      <c r="CD183" s="50"/>
      <c r="CE183" s="518" t="s">
        <v>851</v>
      </c>
      <c r="CK183" s="522" t="str">
        <f t="array" ref="CK183">if(ISBLANK(CK181),"",ROUNDUP((LOOKUP(CK179,{"","A","AA","B","BB","C","CC","D","DD","S","SS"},{1,4,4.5,3,3.5,2,2.5,1,1.5,5,5.5})*CE176/100),0))</f>
        <v/>
      </c>
      <c r="CN183" s="60"/>
      <c r="CO183" s="43"/>
      <c r="CP183" s="518" t="s">
        <v>365</v>
      </c>
      <c r="CR183" s="526"/>
      <c r="CV183" s="518" t="s">
        <v>490</v>
      </c>
      <c r="CX183" s="526"/>
      <c r="CY183" s="60"/>
      <c r="CZ183" s="501"/>
      <c r="DB183" s="510"/>
      <c r="DD183" s="510"/>
      <c r="DF183" s="510"/>
      <c r="DH183" s="510"/>
      <c r="DJ183" s="503"/>
      <c r="DK183" s="53"/>
      <c r="DL183" s="43"/>
      <c r="DM183" s="43"/>
      <c r="DN183" s="43"/>
      <c r="DO183" s="43"/>
      <c r="DP183" s="43"/>
      <c r="DQ183" s="43"/>
      <c r="DR183" s="43"/>
      <c r="DS183" s="43"/>
      <c r="DT183" s="43"/>
      <c r="EG183" s="43"/>
      <c r="EH183" s="43"/>
      <c r="EI183" s="43"/>
      <c r="EJ183" s="43"/>
      <c r="EK183" s="43"/>
      <c r="EL183" s="43"/>
      <c r="EM183" s="43"/>
      <c r="EN183" s="43"/>
      <c r="EO183" s="43"/>
      <c r="EP183" s="43"/>
      <c r="EQ183" s="43"/>
      <c r="ER183" s="43"/>
      <c r="ES183" s="43"/>
      <c r="ET183" s="43"/>
      <c r="EU183" s="43"/>
      <c r="EV183" s="43"/>
      <c r="EW183" s="43"/>
      <c r="EX183" s="43"/>
      <c r="EY183" s="43"/>
      <c r="EZ183" s="43"/>
      <c r="FA183" s="43"/>
      <c r="FB183" s="43"/>
      <c r="FC183" s="43"/>
      <c r="FD183" s="43"/>
      <c r="FE183" s="43"/>
      <c r="FF183" s="43"/>
      <c r="FG183" s="43"/>
      <c r="FH183" s="43"/>
      <c r="FI183" s="43"/>
      <c r="FJ183" s="43"/>
      <c r="FK183" s="43"/>
      <c r="FL183" s="43"/>
      <c r="FM183" s="43"/>
      <c r="FN183" s="43"/>
      <c r="FO183" s="43"/>
      <c r="FP183" s="43"/>
      <c r="FQ183" s="43"/>
      <c r="FR183" s="43"/>
      <c r="FS183" s="43"/>
      <c r="FT183" s="43"/>
      <c r="FU183" s="43"/>
      <c r="FV183" s="43"/>
      <c r="FW183" s="43"/>
      <c r="FX183" s="43"/>
      <c r="FY183" s="43"/>
      <c r="FZ183" s="43"/>
      <c r="GA183" s="43"/>
      <c r="GB183" s="43"/>
      <c r="GC183" s="43"/>
      <c r="GD183" s="43"/>
      <c r="GE183" s="43"/>
      <c r="GF183" s="43"/>
      <c r="GG183" s="43"/>
      <c r="GH183" s="43"/>
      <c r="GI183" s="43"/>
      <c r="GJ183" s="43"/>
      <c r="GK183" s="43"/>
      <c r="GL183" s="43"/>
      <c r="GM183" s="43"/>
      <c r="GN183" s="43"/>
      <c r="GO183" s="43"/>
      <c r="GP183" s="43"/>
      <c r="GQ183" s="43"/>
      <c r="GR183" s="43"/>
      <c r="GS183" s="43"/>
      <c r="GT183" s="43"/>
      <c r="GU183" s="43"/>
      <c r="GV183" s="43"/>
      <c r="GW183" s="43"/>
    </row>
    <row r="184" ht="15.0" customHeight="1">
      <c r="A184" s="318"/>
      <c r="B184" s="91"/>
      <c r="C184" s="46"/>
      <c r="D184" s="46"/>
      <c r="E184" s="46"/>
      <c r="F184" s="46"/>
      <c r="G184" s="46"/>
      <c r="H184" s="46"/>
      <c r="I184" s="46"/>
      <c r="J184" s="46"/>
      <c r="K184" s="46"/>
      <c r="L184" s="46"/>
      <c r="M184" s="47"/>
      <c r="N184" s="91"/>
      <c r="O184" s="46"/>
      <c r="P184" s="46"/>
      <c r="Q184" s="47"/>
      <c r="R184" s="91"/>
      <c r="S184" s="46"/>
      <c r="T184" s="46"/>
      <c r="U184" s="47"/>
      <c r="V184" s="91"/>
      <c r="W184" s="46"/>
      <c r="X184" s="46"/>
      <c r="Y184" s="47"/>
      <c r="Z184" s="91"/>
      <c r="AA184" s="46"/>
      <c r="AB184" s="46"/>
      <c r="AC184" s="47"/>
      <c r="AD184" s="91"/>
      <c r="AE184" s="46"/>
      <c r="AF184" s="46"/>
      <c r="AG184" s="46"/>
      <c r="AH184" s="46"/>
      <c r="AI184" s="46"/>
      <c r="AJ184" s="46"/>
      <c r="AK184" s="47"/>
      <c r="AL184" s="127"/>
      <c r="AM184" s="46"/>
      <c r="AN184" s="46"/>
      <c r="AO184" s="46"/>
      <c r="AP184" s="46"/>
      <c r="AQ184" s="46"/>
      <c r="AR184" s="46"/>
      <c r="AS184" s="46"/>
      <c r="AT184" s="46"/>
      <c r="AU184" s="46"/>
      <c r="AV184" s="46"/>
      <c r="AW184" s="47"/>
      <c r="AX184" s="127"/>
      <c r="AY184" s="46"/>
      <c r="AZ184" s="46"/>
      <c r="BA184" s="47"/>
      <c r="BB184" s="127"/>
      <c r="BC184" s="46"/>
      <c r="BD184" s="46"/>
      <c r="BE184" s="47"/>
      <c r="BF184" s="127"/>
      <c r="BG184" s="46"/>
      <c r="BH184" s="46"/>
      <c r="BI184" s="47"/>
      <c r="BJ184" s="127"/>
      <c r="BK184" s="46"/>
      <c r="BL184" s="46"/>
      <c r="BM184" s="47"/>
      <c r="BN184" s="127"/>
      <c r="BO184" s="46"/>
      <c r="BP184" s="46"/>
      <c r="BQ184" s="46"/>
      <c r="BR184" s="46"/>
      <c r="BS184" s="46"/>
      <c r="BT184" s="46"/>
      <c r="BU184" s="47"/>
      <c r="BV184" s="70"/>
      <c r="BW184" s="57"/>
      <c r="BX184" s="58"/>
      <c r="BY184" s="70"/>
      <c r="BZ184" s="58"/>
      <c r="CA184" s="70"/>
      <c r="CB184" s="58"/>
      <c r="CC184" s="70"/>
      <c r="CD184" s="58"/>
      <c r="CE184" s="59"/>
      <c r="CN184" s="60"/>
      <c r="CO184" s="43"/>
      <c r="CP184" s="59"/>
      <c r="CV184" s="59"/>
      <c r="CY184" s="60"/>
      <c r="CZ184" s="501" t="s">
        <v>589</v>
      </c>
      <c r="DB184" s="510">
        <f t="shared" ref="DB184:DB186" si="43">O53</f>
        <v>0</v>
      </c>
      <c r="DD184" s="510">
        <f t="shared" ref="DD184:DD186" si="44">S53</f>
        <v>-2</v>
      </c>
      <c r="DF184" s="510">
        <f t="shared" ref="DF184:DF186" si="45">G53+I53</f>
        <v>0</v>
      </c>
      <c r="DH184" s="510"/>
      <c r="DJ184" s="503"/>
      <c r="DK184" s="53"/>
      <c r="DL184" s="43"/>
      <c r="DM184" s="43"/>
      <c r="DN184" s="43"/>
      <c r="DO184" s="43"/>
      <c r="DP184" s="43"/>
      <c r="DQ184" s="43"/>
      <c r="DR184" s="43"/>
      <c r="DS184" s="43"/>
      <c r="DT184" s="43"/>
      <c r="DU184" s="43"/>
      <c r="DV184" s="43"/>
      <c r="DW184" s="43"/>
      <c r="DX184" s="43"/>
      <c r="DY184" s="43"/>
      <c r="DZ184" s="43"/>
      <c r="EA184" s="43"/>
      <c r="EB184" s="43"/>
      <c r="EC184" s="43"/>
      <c r="ED184" s="43"/>
      <c r="EE184" s="43"/>
      <c r="EF184" s="43"/>
      <c r="EG184" s="43"/>
      <c r="EH184" s="43"/>
      <c r="EI184" s="43"/>
      <c r="EJ184" s="43"/>
      <c r="EK184" s="43"/>
      <c r="EL184" s="43"/>
      <c r="EM184" s="43"/>
      <c r="EN184" s="43"/>
      <c r="EO184" s="43"/>
      <c r="EP184" s="43"/>
      <c r="EQ184" s="43"/>
      <c r="ER184" s="43"/>
      <c r="ES184" s="43"/>
      <c r="ET184" s="43"/>
      <c r="EU184" s="43"/>
      <c r="EV184" s="43"/>
      <c r="EW184" s="43"/>
      <c r="EX184" s="43"/>
      <c r="EY184" s="43"/>
      <c r="EZ184" s="43"/>
      <c r="FA184" s="43"/>
      <c r="FB184" s="43"/>
      <c r="FC184" s="43"/>
      <c r="FD184" s="43"/>
      <c r="FE184" s="43"/>
      <c r="FF184" s="43"/>
      <c r="FG184" s="43"/>
      <c r="FH184" s="43"/>
      <c r="FI184" s="43"/>
      <c r="FJ184" s="43"/>
      <c r="FK184" s="43"/>
      <c r="FL184" s="43"/>
      <c r="FM184" s="43"/>
      <c r="FN184" s="43"/>
      <c r="FO184" s="43"/>
      <c r="FP184" s="43"/>
      <c r="FQ184" s="43"/>
      <c r="FR184" s="43"/>
      <c r="FS184" s="43"/>
      <c r="FT184" s="43"/>
      <c r="FU184" s="43"/>
      <c r="FV184" s="43"/>
      <c r="FW184" s="43"/>
      <c r="FX184" s="43"/>
      <c r="FY184" s="43"/>
      <c r="FZ184" s="43"/>
      <c r="GA184" s="43"/>
      <c r="GB184" s="43"/>
      <c r="GC184" s="43"/>
      <c r="GD184" s="43"/>
      <c r="GE184" s="43"/>
      <c r="GF184" s="43"/>
      <c r="GG184" s="43"/>
      <c r="GH184" s="43"/>
      <c r="GI184" s="43"/>
      <c r="GJ184" s="43"/>
      <c r="GK184" s="43"/>
      <c r="GL184" s="43"/>
      <c r="GM184" s="43"/>
      <c r="GN184" s="43"/>
      <c r="GO184" s="43"/>
      <c r="GP184" s="43"/>
      <c r="GQ184" s="43"/>
      <c r="GR184" s="43"/>
      <c r="GS184" s="43"/>
      <c r="GT184" s="43"/>
      <c r="GU184" s="43"/>
      <c r="GV184" s="43"/>
      <c r="GW184" s="43"/>
    </row>
    <row r="185" ht="15.0" customHeight="1">
      <c r="A185" s="318"/>
      <c r="B185" s="91"/>
      <c r="C185" s="46"/>
      <c r="D185" s="46"/>
      <c r="E185" s="46"/>
      <c r="F185" s="46"/>
      <c r="G185" s="46"/>
      <c r="H185" s="46"/>
      <c r="I185" s="46"/>
      <c r="J185" s="46"/>
      <c r="K185" s="46"/>
      <c r="L185" s="46"/>
      <c r="M185" s="47"/>
      <c r="N185" s="91"/>
      <c r="O185" s="46"/>
      <c r="P185" s="46"/>
      <c r="Q185" s="47"/>
      <c r="R185" s="91"/>
      <c r="S185" s="46"/>
      <c r="T185" s="46"/>
      <c r="U185" s="47"/>
      <c r="V185" s="91"/>
      <c r="W185" s="46"/>
      <c r="X185" s="46"/>
      <c r="Y185" s="47"/>
      <c r="Z185" s="91"/>
      <c r="AA185" s="46"/>
      <c r="AB185" s="46"/>
      <c r="AC185" s="47"/>
      <c r="AD185" s="91"/>
      <c r="AE185" s="46"/>
      <c r="AF185" s="46"/>
      <c r="AG185" s="46"/>
      <c r="AH185" s="46"/>
      <c r="AI185" s="46"/>
      <c r="AJ185" s="46"/>
      <c r="AK185" s="47"/>
      <c r="AL185" s="127"/>
      <c r="AM185" s="46"/>
      <c r="AN185" s="46"/>
      <c r="AO185" s="46"/>
      <c r="AP185" s="46"/>
      <c r="AQ185" s="46"/>
      <c r="AR185" s="46"/>
      <c r="AS185" s="46"/>
      <c r="AT185" s="46"/>
      <c r="AU185" s="46"/>
      <c r="AV185" s="46"/>
      <c r="AW185" s="47"/>
      <c r="AX185" s="127"/>
      <c r="AY185" s="46"/>
      <c r="AZ185" s="46"/>
      <c r="BA185" s="47"/>
      <c r="BB185" s="127"/>
      <c r="BC185" s="46"/>
      <c r="BD185" s="46"/>
      <c r="BE185" s="47"/>
      <c r="BF185" s="127"/>
      <c r="BG185" s="46"/>
      <c r="BH185" s="46"/>
      <c r="BI185" s="47"/>
      <c r="BJ185" s="127"/>
      <c r="BK185" s="46"/>
      <c r="BL185" s="46"/>
      <c r="BM185" s="47"/>
      <c r="BN185" s="127"/>
      <c r="BO185" s="46"/>
      <c r="BP185" s="46"/>
      <c r="BQ185" s="46"/>
      <c r="BR185" s="46"/>
      <c r="BS185" s="46"/>
      <c r="BT185" s="46"/>
      <c r="BU185" s="47"/>
      <c r="BV185" s="496" t="s">
        <v>697</v>
      </c>
      <c r="BW185" s="49"/>
      <c r="BX185" s="50"/>
      <c r="BY185" s="496">
        <f>SUM(LEN(CONCATENATE($N$155:$Q191))-LEN(SUBSTITUTE(CONCATENATE($N$155:$Q191),"B","")))-SUM(LEN(CONCATENATE($Z$155:$AC191))-LEN(SUBSTITUTE(CONCATENATE($Z$155:$AC191),"B","")))</f>
        <v>0</v>
      </c>
      <c r="BZ185" s="50"/>
      <c r="CA185" s="496">
        <f>SUM(LEN(CONCATENATE($AX$155:$BA191))-LEN(SUBSTITUTE(CONCATENATE($AX$155:$BA191),"B","")))-SUM(LEN(CONCATENATE($BJ$155:$BM191))-LEN(SUBSTITUTE(CONCATENATE($BJ$155:$BM191),"B","")))</f>
        <v>0</v>
      </c>
      <c r="CB185" s="50"/>
      <c r="CC185" s="496">
        <f>BY185+CA185</f>
        <v>0</v>
      </c>
      <c r="CD185" s="50"/>
      <c r="CE185" s="518" t="s">
        <v>853</v>
      </c>
      <c r="CK185" s="522" t="str">
        <f t="array" ref="CK185">if(ISBLANK(CK181),"",max(CK183,ROUNDUP((LOOKUP(CK179,{"","A","AA","B","BB","C","CC","D","DD","S","SS"},{1,4,4.5,3,3.5,2,2.5,1,1.5,5,5.5})*5),0)))</f>
        <v/>
      </c>
      <c r="CN185" s="60"/>
      <c r="CO185" s="43"/>
      <c r="CP185" s="518" t="s">
        <v>854</v>
      </c>
      <c r="CV185" s="522" t="str">
        <f t="array" ref="CV185">if(ISBLANK(CR183),"",ROUNDUP((LOOKUP(CV181,{"","A","AA","B","BB","C","CC","D","DD","S","SS"},{0,27,54,9,18,3,6,1,2,81,162})+CR183/1000),0))</f>
        <v/>
      </c>
      <c r="CY185" s="60"/>
      <c r="CZ185" s="501" t="s">
        <v>596</v>
      </c>
      <c r="DB185" s="510">
        <f t="shared" si="43"/>
        <v>0</v>
      </c>
      <c r="DD185" s="510">
        <f t="shared" si="44"/>
        <v>-2</v>
      </c>
      <c r="DF185" s="510">
        <f t="shared" si="45"/>
        <v>0</v>
      </c>
      <c r="DH185" s="510"/>
      <c r="DJ185" s="503"/>
      <c r="DK185" s="53"/>
      <c r="DL185" s="43"/>
      <c r="DM185" s="43"/>
      <c r="DN185" s="43"/>
      <c r="DO185" s="43"/>
      <c r="DP185" s="43"/>
      <c r="DQ185" s="43"/>
      <c r="DR185" s="43"/>
      <c r="DS185" s="43"/>
      <c r="DT185" s="43"/>
      <c r="DU185" s="43"/>
      <c r="DV185" s="43"/>
      <c r="DW185" s="43"/>
      <c r="DX185" s="43"/>
      <c r="DY185" s="43"/>
      <c r="DZ185" s="43"/>
      <c r="EA185" s="43"/>
      <c r="EB185" s="43"/>
      <c r="EC185" s="43"/>
      <c r="ED185" s="43"/>
      <c r="EE185" s="43"/>
      <c r="EF185" s="43"/>
      <c r="EG185" s="43"/>
      <c r="EH185" s="43"/>
      <c r="EI185" s="43"/>
      <c r="EJ185" s="43"/>
      <c r="EK185" s="43"/>
      <c r="EL185" s="43"/>
      <c r="EM185" s="43"/>
      <c r="EN185" s="43"/>
      <c r="EO185" s="43"/>
      <c r="EP185" s="43"/>
      <c r="EQ185" s="43"/>
      <c r="ER185" s="43"/>
      <c r="ES185" s="43"/>
      <c r="ET185" s="43"/>
      <c r="EU185" s="43"/>
      <c r="EV185" s="43"/>
      <c r="EW185" s="43"/>
      <c r="EX185" s="43"/>
      <c r="EY185" s="43"/>
      <c r="EZ185" s="43"/>
      <c r="FA185" s="43"/>
      <c r="FB185" s="43"/>
      <c r="FC185" s="43"/>
      <c r="FD185" s="43"/>
      <c r="FE185" s="43"/>
      <c r="FF185" s="43"/>
      <c r="FG185" s="43"/>
      <c r="FH185" s="43"/>
      <c r="FI185" s="43"/>
      <c r="FJ185" s="43"/>
      <c r="FK185" s="43"/>
      <c r="FL185" s="43"/>
      <c r="FM185" s="43"/>
      <c r="FN185" s="43"/>
      <c r="FO185" s="43"/>
      <c r="FP185" s="43"/>
      <c r="FQ185" s="43"/>
      <c r="FR185" s="43"/>
      <c r="FS185" s="43"/>
      <c r="FT185" s="43"/>
      <c r="FU185" s="43"/>
      <c r="FV185" s="43"/>
      <c r="FW185" s="43"/>
      <c r="FX185" s="43"/>
      <c r="FY185" s="43"/>
      <c r="FZ185" s="43"/>
      <c r="GA185" s="43"/>
      <c r="GB185" s="43"/>
      <c r="GC185" s="43"/>
      <c r="GD185" s="43"/>
      <c r="GE185" s="43"/>
      <c r="GF185" s="43"/>
      <c r="GG185" s="43"/>
      <c r="GH185" s="43"/>
      <c r="GI185" s="43"/>
      <c r="GJ185" s="43"/>
      <c r="GK185" s="43"/>
      <c r="GL185" s="43"/>
      <c r="GM185" s="43"/>
      <c r="GN185" s="43"/>
      <c r="GO185" s="43"/>
      <c r="GP185" s="43"/>
      <c r="GQ185" s="43"/>
      <c r="GR185" s="43"/>
      <c r="GS185" s="43"/>
      <c r="GT185" s="43"/>
      <c r="GU185" s="43"/>
      <c r="GV185" s="43"/>
      <c r="GW185" s="43"/>
    </row>
    <row r="186" ht="15.0" customHeight="1">
      <c r="A186" s="318"/>
      <c r="B186" s="91"/>
      <c r="C186" s="46"/>
      <c r="D186" s="46"/>
      <c r="E186" s="46"/>
      <c r="F186" s="46"/>
      <c r="G186" s="46"/>
      <c r="H186" s="46"/>
      <c r="I186" s="46"/>
      <c r="J186" s="46"/>
      <c r="K186" s="46"/>
      <c r="L186" s="46"/>
      <c r="M186" s="47"/>
      <c r="N186" s="91"/>
      <c r="O186" s="46"/>
      <c r="P186" s="46"/>
      <c r="Q186" s="47"/>
      <c r="R186" s="91"/>
      <c r="S186" s="46"/>
      <c r="T186" s="46"/>
      <c r="U186" s="47"/>
      <c r="V186" s="91"/>
      <c r="W186" s="46"/>
      <c r="X186" s="46"/>
      <c r="Y186" s="47"/>
      <c r="Z186" s="91"/>
      <c r="AA186" s="46"/>
      <c r="AB186" s="46"/>
      <c r="AC186" s="47"/>
      <c r="AD186" s="91"/>
      <c r="AE186" s="46"/>
      <c r="AF186" s="46"/>
      <c r="AG186" s="46"/>
      <c r="AH186" s="46"/>
      <c r="AI186" s="46"/>
      <c r="AJ186" s="46"/>
      <c r="AK186" s="47"/>
      <c r="AL186" s="127"/>
      <c r="AM186" s="46"/>
      <c r="AN186" s="46"/>
      <c r="AO186" s="46"/>
      <c r="AP186" s="46"/>
      <c r="AQ186" s="46"/>
      <c r="AR186" s="46"/>
      <c r="AS186" s="46"/>
      <c r="AT186" s="46"/>
      <c r="AU186" s="46"/>
      <c r="AV186" s="46"/>
      <c r="AW186" s="47"/>
      <c r="AX186" s="127"/>
      <c r="AY186" s="46"/>
      <c r="AZ186" s="46"/>
      <c r="BA186" s="47"/>
      <c r="BB186" s="127"/>
      <c r="BC186" s="46"/>
      <c r="BD186" s="46"/>
      <c r="BE186" s="47"/>
      <c r="BF186" s="127"/>
      <c r="BG186" s="46"/>
      <c r="BH186" s="46"/>
      <c r="BI186" s="47"/>
      <c r="BJ186" s="127"/>
      <c r="BK186" s="46"/>
      <c r="BL186" s="46"/>
      <c r="BM186" s="47"/>
      <c r="BN186" s="127"/>
      <c r="BO186" s="46"/>
      <c r="BP186" s="46"/>
      <c r="BQ186" s="46"/>
      <c r="BR186" s="46"/>
      <c r="BS186" s="46"/>
      <c r="BT186" s="46"/>
      <c r="BU186" s="47"/>
      <c r="BV186" s="70"/>
      <c r="BW186" s="57"/>
      <c r="BX186" s="58"/>
      <c r="BY186" s="70"/>
      <c r="BZ186" s="58"/>
      <c r="CA186" s="70"/>
      <c r="CB186" s="58"/>
      <c r="CC186" s="70"/>
      <c r="CD186" s="58"/>
      <c r="CE186" s="59"/>
      <c r="CN186" s="60"/>
      <c r="CO186" s="43"/>
      <c r="CP186" s="59"/>
      <c r="CY186" s="60"/>
      <c r="CZ186" s="501" t="s">
        <v>601</v>
      </c>
      <c r="DB186" s="510">
        <f t="shared" si="43"/>
        <v>0</v>
      </c>
      <c r="DD186" s="510">
        <f t="shared" si="44"/>
        <v>-2</v>
      </c>
      <c r="DF186" s="510">
        <f t="shared" si="45"/>
        <v>0</v>
      </c>
      <c r="DH186" s="510"/>
      <c r="DJ186" s="503"/>
      <c r="DK186" s="53"/>
      <c r="DL186" s="43"/>
      <c r="DM186" s="43"/>
      <c r="DN186" s="43"/>
      <c r="DO186" s="43"/>
      <c r="DP186" s="43"/>
      <c r="DQ186" s="43"/>
      <c r="DR186" s="43"/>
      <c r="DS186" s="43"/>
      <c r="DT186" s="43"/>
      <c r="DU186" s="43"/>
      <c r="DV186" s="43"/>
      <c r="DW186" s="43"/>
      <c r="DX186" s="43"/>
      <c r="DY186" s="43"/>
      <c r="DZ186" s="43"/>
      <c r="EA186" s="43"/>
      <c r="EB186" s="43"/>
      <c r="EC186" s="43"/>
      <c r="ED186" s="43"/>
      <c r="EE186" s="43"/>
      <c r="EF186" s="43"/>
      <c r="EG186" s="43"/>
      <c r="EH186" s="43"/>
      <c r="EI186" s="43"/>
      <c r="EJ186" s="43"/>
      <c r="EK186" s="43"/>
      <c r="EL186" s="43"/>
      <c r="EM186" s="43"/>
      <c r="EN186" s="43"/>
      <c r="EO186" s="43"/>
      <c r="EP186" s="43"/>
      <c r="EQ186" s="43"/>
      <c r="ER186" s="43"/>
      <c r="ES186" s="43"/>
      <c r="ET186" s="43"/>
      <c r="EU186" s="43"/>
      <c r="EV186" s="43"/>
      <c r="EW186" s="43"/>
      <c r="EX186" s="43"/>
      <c r="EY186" s="43"/>
      <c r="EZ186" s="43"/>
      <c r="FA186" s="43"/>
      <c r="FB186" s="43"/>
      <c r="FC186" s="43"/>
      <c r="FD186" s="43"/>
      <c r="FE186" s="43"/>
      <c r="FF186" s="43"/>
      <c r="FG186" s="43"/>
      <c r="FH186" s="43"/>
      <c r="FI186" s="43"/>
      <c r="FJ186" s="43"/>
      <c r="FK186" s="43"/>
      <c r="FL186" s="43"/>
      <c r="FM186" s="43"/>
      <c r="FN186" s="43"/>
      <c r="FO186" s="43"/>
      <c r="FP186" s="43"/>
      <c r="FQ186" s="43"/>
      <c r="FR186" s="43"/>
      <c r="FS186" s="43"/>
      <c r="FT186" s="43"/>
      <c r="FU186" s="43"/>
      <c r="FV186" s="43"/>
      <c r="FW186" s="43"/>
      <c r="FX186" s="43"/>
      <c r="FY186" s="43"/>
      <c r="FZ186" s="43"/>
      <c r="GA186" s="43"/>
      <c r="GB186" s="43"/>
      <c r="GC186" s="43"/>
      <c r="GD186" s="43"/>
      <c r="GE186" s="43"/>
      <c r="GF186" s="43"/>
      <c r="GG186" s="43"/>
      <c r="GH186" s="43"/>
      <c r="GI186" s="43"/>
      <c r="GJ186" s="43"/>
      <c r="GK186" s="43"/>
      <c r="GL186" s="43"/>
      <c r="GM186" s="43"/>
      <c r="GN186" s="43"/>
      <c r="GO186" s="43"/>
      <c r="GP186" s="43"/>
      <c r="GQ186" s="43"/>
      <c r="GR186" s="43"/>
      <c r="GS186" s="43"/>
      <c r="GT186" s="43"/>
      <c r="GU186" s="43"/>
      <c r="GV186" s="43"/>
      <c r="GW186" s="43"/>
    </row>
    <row r="187" ht="15.0" customHeight="1">
      <c r="A187" s="318"/>
      <c r="B187" s="91"/>
      <c r="C187" s="46"/>
      <c r="D187" s="46"/>
      <c r="E187" s="46"/>
      <c r="F187" s="46"/>
      <c r="G187" s="46"/>
      <c r="H187" s="46"/>
      <c r="I187" s="46"/>
      <c r="J187" s="46"/>
      <c r="K187" s="46"/>
      <c r="L187" s="46"/>
      <c r="M187" s="47"/>
      <c r="N187" s="91"/>
      <c r="O187" s="46"/>
      <c r="P187" s="46"/>
      <c r="Q187" s="47"/>
      <c r="R187" s="91"/>
      <c r="S187" s="46"/>
      <c r="T187" s="46"/>
      <c r="U187" s="47"/>
      <c r="V187" s="91"/>
      <c r="W187" s="46"/>
      <c r="X187" s="46"/>
      <c r="Y187" s="47"/>
      <c r="Z187" s="91"/>
      <c r="AA187" s="46"/>
      <c r="AB187" s="46"/>
      <c r="AC187" s="47"/>
      <c r="AD187" s="91"/>
      <c r="AE187" s="46"/>
      <c r="AF187" s="46"/>
      <c r="AG187" s="46"/>
      <c r="AH187" s="46"/>
      <c r="AI187" s="46"/>
      <c r="AJ187" s="46"/>
      <c r="AK187" s="47"/>
      <c r="AL187" s="127"/>
      <c r="AM187" s="46"/>
      <c r="AN187" s="46"/>
      <c r="AO187" s="46"/>
      <c r="AP187" s="46"/>
      <c r="AQ187" s="46"/>
      <c r="AR187" s="46"/>
      <c r="AS187" s="46"/>
      <c r="AT187" s="46"/>
      <c r="AU187" s="46"/>
      <c r="AV187" s="46"/>
      <c r="AW187" s="47"/>
      <c r="AX187" s="127"/>
      <c r="AY187" s="46"/>
      <c r="AZ187" s="46"/>
      <c r="BA187" s="47"/>
      <c r="BB187" s="127"/>
      <c r="BC187" s="46"/>
      <c r="BD187" s="46"/>
      <c r="BE187" s="47"/>
      <c r="BF187" s="127"/>
      <c r="BG187" s="46"/>
      <c r="BH187" s="46"/>
      <c r="BI187" s="47"/>
      <c r="BJ187" s="127"/>
      <c r="BK187" s="46"/>
      <c r="BL187" s="46"/>
      <c r="BM187" s="47"/>
      <c r="BN187" s="127"/>
      <c r="BO187" s="46"/>
      <c r="BP187" s="46"/>
      <c r="BQ187" s="46"/>
      <c r="BR187" s="46"/>
      <c r="BS187" s="46"/>
      <c r="BT187" s="46"/>
      <c r="BU187" s="47"/>
      <c r="BV187" s="496" t="s">
        <v>856</v>
      </c>
      <c r="BW187" s="49"/>
      <c r="BX187" s="50"/>
      <c r="BY187" s="496">
        <f>SUM(LEN(CONCATENATE($N$155:$Q191))-LEN(SUBSTITUTE(CONCATENATE($N$155:$Q191),"A","")))-SUM(LEN(CONCATENATE($Z$155:$AC191))-LEN(SUBSTITUTE(CONCATENATE($Z$155:$AC191),"A","")))</f>
        <v>0</v>
      </c>
      <c r="BZ187" s="50"/>
      <c r="CA187" s="496">
        <f>SUM(LEN(CONCATENATE($AX$155:$BA191))-LEN(SUBSTITUTE(CONCATENATE($AX$155:$BA191),"A","")))-SUM(LEN(CONCATENATE($BJ$155:$BM191))-LEN(SUBSTITUTE(CONCATENATE($BJ$155:$BM191),"A","")))</f>
        <v>0</v>
      </c>
      <c r="CB187" s="50"/>
      <c r="CC187" s="496">
        <f>BY187+CA187</f>
        <v>0</v>
      </c>
      <c r="CD187" s="50"/>
      <c r="CE187" s="518" t="s">
        <v>857</v>
      </c>
      <c r="CK187" s="522" t="str">
        <f t="array" ref="CK187">if(ISBLANK(CK181),"",LOOKUP(CK179,{"","A","AA","B","BB","C","CC","D","DD","S","SS"},{"","B+","BB+","C+","CC+","D+","DD+","E+","EE+","A+","AA+"})&amp;Roundup(CK181/3,0))</f>
        <v/>
      </c>
      <c r="CN187" s="60"/>
      <c r="CO187" s="43"/>
      <c r="CP187" s="518" t="s">
        <v>858</v>
      </c>
      <c r="CV187" s="522" t="str">
        <f>if(ISBLANK(CR183),"",(CX183+CV185)*3)</f>
        <v/>
      </c>
      <c r="CY187" s="60"/>
      <c r="CZ187" s="527"/>
      <c r="DA187" s="510"/>
      <c r="DB187" s="510"/>
      <c r="DC187" s="510"/>
      <c r="DD187" s="510"/>
      <c r="DE187" s="510"/>
      <c r="DF187" s="510"/>
      <c r="DG187" s="510"/>
      <c r="DH187" s="510"/>
      <c r="DI187" s="510"/>
      <c r="DJ187" s="503"/>
      <c r="DK187" s="53"/>
      <c r="DL187" s="43"/>
      <c r="DM187" s="43"/>
      <c r="DN187" s="43"/>
      <c r="DO187" s="43"/>
      <c r="DP187" s="43"/>
      <c r="DQ187" s="43"/>
      <c r="DR187" s="43"/>
      <c r="DS187" s="43"/>
      <c r="DT187" s="43"/>
      <c r="DU187" s="43"/>
      <c r="DV187" s="43"/>
      <c r="DW187" s="43"/>
      <c r="DX187" s="43"/>
      <c r="DY187" s="43"/>
      <c r="DZ187" s="43"/>
      <c r="EA187" s="43"/>
      <c r="EB187" s="43"/>
      <c r="EC187" s="43"/>
      <c r="ED187" s="43"/>
      <c r="EE187" s="43"/>
      <c r="EF187" s="43"/>
      <c r="EG187" s="43"/>
      <c r="EH187" s="43"/>
      <c r="EI187" s="43"/>
      <c r="EJ187" s="43"/>
      <c r="EK187" s="43"/>
      <c r="EL187" s="43"/>
      <c r="EM187" s="43"/>
      <c r="EN187" s="43"/>
      <c r="EO187" s="43"/>
      <c r="EP187" s="43"/>
      <c r="EQ187" s="43"/>
      <c r="ER187" s="43"/>
      <c r="ES187" s="43"/>
      <c r="ET187" s="43"/>
      <c r="EU187" s="43"/>
      <c r="EV187" s="43"/>
      <c r="EW187" s="43"/>
      <c r="EX187" s="43"/>
      <c r="EY187" s="43"/>
      <c r="EZ187" s="43"/>
      <c r="FA187" s="43"/>
      <c r="FB187" s="43"/>
      <c r="FC187" s="43"/>
      <c r="FD187" s="43"/>
      <c r="FE187" s="43"/>
      <c r="FF187" s="43"/>
      <c r="FG187" s="43"/>
      <c r="FH187" s="43"/>
      <c r="FI187" s="43"/>
      <c r="FJ187" s="43"/>
      <c r="FK187" s="43"/>
      <c r="FL187" s="43"/>
      <c r="FM187" s="43"/>
      <c r="FN187" s="43"/>
      <c r="FO187" s="43"/>
      <c r="FP187" s="43"/>
      <c r="FQ187" s="43"/>
      <c r="FR187" s="43"/>
      <c r="FS187" s="43"/>
      <c r="FT187" s="43"/>
      <c r="FU187" s="43"/>
      <c r="FV187" s="43"/>
      <c r="FW187" s="43"/>
      <c r="FX187" s="43"/>
      <c r="FY187" s="43"/>
      <c r="FZ187" s="43"/>
      <c r="GA187" s="43"/>
      <c r="GB187" s="43"/>
      <c r="GC187" s="43"/>
      <c r="GD187" s="43"/>
      <c r="GE187" s="43"/>
      <c r="GF187" s="43"/>
      <c r="GG187" s="43"/>
      <c r="GH187" s="43"/>
      <c r="GI187" s="43"/>
      <c r="GJ187" s="43"/>
      <c r="GK187" s="43"/>
      <c r="GL187" s="43"/>
      <c r="GM187" s="43"/>
      <c r="GN187" s="43"/>
      <c r="GO187" s="43"/>
      <c r="GP187" s="43"/>
      <c r="GQ187" s="43"/>
      <c r="GR187" s="43"/>
      <c r="GS187" s="43"/>
      <c r="GT187" s="43"/>
      <c r="GU187" s="43"/>
      <c r="GV187" s="43"/>
      <c r="GW187" s="43"/>
    </row>
    <row r="188" ht="15.0" customHeight="1">
      <c r="A188" s="318"/>
      <c r="B188" s="91"/>
      <c r="C188" s="46"/>
      <c r="D188" s="46"/>
      <c r="E188" s="46"/>
      <c r="F188" s="46"/>
      <c r="G188" s="46"/>
      <c r="H188" s="46"/>
      <c r="I188" s="46"/>
      <c r="J188" s="46"/>
      <c r="K188" s="46"/>
      <c r="L188" s="46"/>
      <c r="M188" s="47"/>
      <c r="N188" s="91"/>
      <c r="O188" s="46"/>
      <c r="P188" s="46"/>
      <c r="Q188" s="47"/>
      <c r="R188" s="91"/>
      <c r="S188" s="46"/>
      <c r="T188" s="46"/>
      <c r="U188" s="47"/>
      <c r="V188" s="91"/>
      <c r="W188" s="46"/>
      <c r="X188" s="46"/>
      <c r="Y188" s="47"/>
      <c r="Z188" s="91"/>
      <c r="AA188" s="46"/>
      <c r="AB188" s="46"/>
      <c r="AC188" s="47"/>
      <c r="AD188" s="91"/>
      <c r="AE188" s="46"/>
      <c r="AF188" s="46"/>
      <c r="AG188" s="46"/>
      <c r="AH188" s="46"/>
      <c r="AI188" s="46"/>
      <c r="AJ188" s="46"/>
      <c r="AK188" s="47"/>
      <c r="AL188" s="127"/>
      <c r="AM188" s="46"/>
      <c r="AN188" s="46"/>
      <c r="AO188" s="46"/>
      <c r="AP188" s="46"/>
      <c r="AQ188" s="46"/>
      <c r="AR188" s="46"/>
      <c r="AS188" s="46"/>
      <c r="AT188" s="46"/>
      <c r="AU188" s="46"/>
      <c r="AV188" s="46"/>
      <c r="AW188" s="47"/>
      <c r="AX188" s="127"/>
      <c r="AY188" s="46"/>
      <c r="AZ188" s="46"/>
      <c r="BA188" s="47"/>
      <c r="BB188" s="127"/>
      <c r="BC188" s="46"/>
      <c r="BD188" s="46"/>
      <c r="BE188" s="47"/>
      <c r="BF188" s="127"/>
      <c r="BG188" s="46"/>
      <c r="BH188" s="46"/>
      <c r="BI188" s="47"/>
      <c r="BJ188" s="127"/>
      <c r="BK188" s="46"/>
      <c r="BL188" s="46"/>
      <c r="BM188" s="47"/>
      <c r="BN188" s="127"/>
      <c r="BO188" s="46"/>
      <c r="BP188" s="46"/>
      <c r="BQ188" s="46"/>
      <c r="BR188" s="46"/>
      <c r="BS188" s="46"/>
      <c r="BT188" s="46"/>
      <c r="BU188" s="47"/>
      <c r="BV188" s="70"/>
      <c r="BW188" s="57"/>
      <c r="BX188" s="58"/>
      <c r="BY188" s="70"/>
      <c r="BZ188" s="58"/>
      <c r="CA188" s="70"/>
      <c r="CB188" s="58"/>
      <c r="CC188" s="70"/>
      <c r="CD188" s="58"/>
      <c r="CE188" s="59"/>
      <c r="CN188" s="60"/>
      <c r="CO188" s="43"/>
      <c r="CP188" s="59"/>
      <c r="CY188" s="60"/>
      <c r="CZ188" s="527"/>
      <c r="DA188" s="510"/>
      <c r="DB188" s="510"/>
      <c r="DC188" s="510"/>
      <c r="DD188" s="510"/>
      <c r="DE188" s="510"/>
      <c r="DF188" s="510"/>
      <c r="DG188" s="510"/>
      <c r="DH188" s="510"/>
      <c r="DI188" s="510"/>
      <c r="DJ188" s="503"/>
      <c r="DK188" s="53"/>
      <c r="DL188" s="43"/>
      <c r="DM188" s="43"/>
      <c r="DN188" s="43"/>
      <c r="DO188" s="43"/>
      <c r="DP188" s="43"/>
      <c r="DQ188" s="43"/>
      <c r="DR188" s="43"/>
      <c r="DS188" s="43"/>
      <c r="DT188" s="43"/>
      <c r="DU188" s="43"/>
      <c r="DV188" s="43"/>
      <c r="DW188" s="43"/>
      <c r="DX188" s="43"/>
      <c r="DY188" s="43"/>
      <c r="DZ188" s="43"/>
      <c r="EA188" s="43"/>
      <c r="EB188" s="43"/>
      <c r="EC188" s="43"/>
      <c r="ED188" s="43"/>
      <c r="EE188" s="43"/>
      <c r="EF188" s="43"/>
      <c r="EG188" s="43"/>
      <c r="EH188" s="43"/>
      <c r="EI188" s="43"/>
      <c r="EJ188" s="43"/>
      <c r="EK188" s="43"/>
      <c r="EL188" s="43"/>
      <c r="EM188" s="43"/>
      <c r="EN188" s="43"/>
      <c r="EO188" s="43"/>
      <c r="EP188" s="43"/>
      <c r="EQ188" s="43"/>
      <c r="ER188" s="43"/>
      <c r="ES188" s="43"/>
      <c r="ET188" s="43"/>
      <c r="EU188" s="43"/>
      <c r="EV188" s="43"/>
      <c r="EW188" s="43"/>
      <c r="EX188" s="43"/>
      <c r="EY188" s="43"/>
      <c r="EZ188" s="43"/>
      <c r="FA188" s="43"/>
      <c r="FB188" s="43"/>
      <c r="FC188" s="43"/>
      <c r="FD188" s="43"/>
      <c r="FE188" s="43"/>
      <c r="FF188" s="43"/>
      <c r="FG188" s="43"/>
      <c r="FH188" s="43"/>
      <c r="FI188" s="43"/>
      <c r="FJ188" s="43"/>
      <c r="FK188" s="43"/>
      <c r="FL188" s="43"/>
      <c r="FM188" s="43"/>
      <c r="FN188" s="43"/>
      <c r="FO188" s="43"/>
      <c r="FP188" s="43"/>
      <c r="FQ188" s="43"/>
      <c r="FR188" s="43"/>
      <c r="FS188" s="43"/>
      <c r="FT188" s="43"/>
      <c r="FU188" s="43"/>
      <c r="FV188" s="43"/>
      <c r="FW188" s="43"/>
      <c r="FX188" s="43"/>
      <c r="FY188" s="43"/>
      <c r="FZ188" s="43"/>
      <c r="GA188" s="43"/>
      <c r="GB188" s="43"/>
      <c r="GC188" s="43"/>
      <c r="GD188" s="43"/>
      <c r="GE188" s="43"/>
      <c r="GF188" s="43"/>
      <c r="GG188" s="43"/>
      <c r="GH188" s="43"/>
      <c r="GI188" s="43"/>
      <c r="GJ188" s="43"/>
      <c r="GK188" s="43"/>
      <c r="GL188" s="43"/>
      <c r="GM188" s="43"/>
      <c r="GN188" s="43"/>
      <c r="GO188" s="43"/>
      <c r="GP188" s="43"/>
      <c r="GQ188" s="43"/>
      <c r="GR188" s="43"/>
      <c r="GS188" s="43"/>
      <c r="GT188" s="43"/>
      <c r="GU188" s="43"/>
      <c r="GV188" s="43"/>
      <c r="GW188" s="43"/>
    </row>
    <row r="189" ht="15.0" customHeight="1">
      <c r="A189" s="318"/>
      <c r="B189" s="91"/>
      <c r="C189" s="46"/>
      <c r="D189" s="46"/>
      <c r="E189" s="46"/>
      <c r="F189" s="46"/>
      <c r="G189" s="46"/>
      <c r="H189" s="46"/>
      <c r="I189" s="46"/>
      <c r="J189" s="46"/>
      <c r="K189" s="46"/>
      <c r="L189" s="46"/>
      <c r="M189" s="47"/>
      <c r="N189" s="91"/>
      <c r="O189" s="46"/>
      <c r="P189" s="46"/>
      <c r="Q189" s="47"/>
      <c r="R189" s="91"/>
      <c r="S189" s="46"/>
      <c r="T189" s="46"/>
      <c r="U189" s="47"/>
      <c r="V189" s="91"/>
      <c r="W189" s="46"/>
      <c r="X189" s="46"/>
      <c r="Y189" s="47"/>
      <c r="Z189" s="91"/>
      <c r="AA189" s="46"/>
      <c r="AB189" s="46"/>
      <c r="AC189" s="47"/>
      <c r="AD189" s="91"/>
      <c r="AE189" s="46"/>
      <c r="AF189" s="46"/>
      <c r="AG189" s="46"/>
      <c r="AH189" s="46"/>
      <c r="AI189" s="46"/>
      <c r="AJ189" s="46"/>
      <c r="AK189" s="47"/>
      <c r="AL189" s="127"/>
      <c r="AM189" s="46"/>
      <c r="AN189" s="46"/>
      <c r="AO189" s="46"/>
      <c r="AP189" s="46"/>
      <c r="AQ189" s="46"/>
      <c r="AR189" s="46"/>
      <c r="AS189" s="46"/>
      <c r="AT189" s="46"/>
      <c r="AU189" s="46"/>
      <c r="AV189" s="46"/>
      <c r="AW189" s="47"/>
      <c r="AX189" s="127"/>
      <c r="AY189" s="46"/>
      <c r="AZ189" s="46"/>
      <c r="BA189" s="47"/>
      <c r="BB189" s="127"/>
      <c r="BC189" s="46"/>
      <c r="BD189" s="46"/>
      <c r="BE189" s="47"/>
      <c r="BF189" s="127"/>
      <c r="BG189" s="46"/>
      <c r="BH189" s="46"/>
      <c r="BI189" s="47"/>
      <c r="BJ189" s="127"/>
      <c r="BK189" s="46"/>
      <c r="BL189" s="46"/>
      <c r="BM189" s="47"/>
      <c r="BN189" s="127"/>
      <c r="BO189" s="46"/>
      <c r="BP189" s="46"/>
      <c r="BQ189" s="46"/>
      <c r="BR189" s="46"/>
      <c r="BS189" s="46"/>
      <c r="BT189" s="46"/>
      <c r="BU189" s="47"/>
      <c r="BV189" s="496" t="s">
        <v>859</v>
      </c>
      <c r="BW189" s="49"/>
      <c r="BX189" s="50"/>
      <c r="BY189" s="496">
        <f>SUM(LEN(CONCATENATE($N$155:$Q191))-LEN(SUBSTITUTE(CONCATENATE($N$155:$Q191),"S","")))-SUM(LEN(CONCATENATE($Z$155:$AC191))-LEN(SUBSTITUTE(CONCATENATE($Z$155:$AC191),"S","")))</f>
        <v>0</v>
      </c>
      <c r="BZ189" s="50"/>
      <c r="CA189" s="496">
        <f>SUM(LEN(CONCATENATE($AX$155:$BA191))-LEN(SUBSTITUTE(CONCATENATE($AX$155:$BA191),"S","")))-SUM(LEN(CONCATENATE($BJ$155:$BM191))-LEN(SUBSTITUTE(CONCATENATE($BJ$155:$BM191),"S","")))</f>
        <v>0</v>
      </c>
      <c r="CB189" s="50"/>
      <c r="CC189" s="496">
        <f>BY189+CA189</f>
        <v>0</v>
      </c>
      <c r="CD189" s="50"/>
      <c r="CE189" s="518" t="s">
        <v>860</v>
      </c>
      <c r="CK189" s="522" t="str">
        <f t="array" ref="CK189">if(ISBLANK(CK181),"",((LOOKUP(CK179,{"","A","AA","B","BB","C","CC","D","DD","S","SS"},{1,4,4.5,3,3.5,2,2.5,1,1.5,5,5.5})*CE176/100)))</f>
        <v/>
      </c>
      <c r="CN189" s="60"/>
      <c r="CO189" s="43"/>
      <c r="CP189" s="518" t="s">
        <v>861</v>
      </c>
      <c r="CV189" s="522" t="str">
        <f>if(ISBLANK(CR183),"",roundup(CR183/CV187,0))</f>
        <v/>
      </c>
      <c r="CY189" s="60"/>
      <c r="CZ189" s="527"/>
      <c r="DA189" s="510"/>
      <c r="DB189" s="510"/>
      <c r="DC189" s="510"/>
      <c r="DD189" s="510"/>
      <c r="DE189" s="510"/>
      <c r="DF189" s="510"/>
      <c r="DG189" s="510"/>
      <c r="DH189" s="510"/>
      <c r="DI189" s="510"/>
      <c r="DJ189" s="503"/>
      <c r="DK189" s="53"/>
      <c r="DL189" s="43"/>
      <c r="DM189" s="43"/>
      <c r="DN189" s="43"/>
      <c r="DO189" s="43"/>
      <c r="DP189" s="43"/>
      <c r="DQ189" s="43"/>
      <c r="DR189" s="43"/>
      <c r="DS189" s="43"/>
      <c r="DT189" s="43"/>
      <c r="DU189" s="43"/>
      <c r="DV189" s="43"/>
      <c r="DW189" s="43"/>
      <c r="DX189" s="43"/>
      <c r="DY189" s="43"/>
      <c r="DZ189" s="43"/>
      <c r="EA189" s="43"/>
      <c r="EB189" s="43"/>
      <c r="EC189" s="43"/>
      <c r="ED189" s="43"/>
      <c r="EE189" s="43"/>
      <c r="EF189" s="43"/>
      <c r="EG189" s="43"/>
      <c r="EH189" s="43"/>
      <c r="EI189" s="43"/>
      <c r="EJ189" s="43"/>
      <c r="EK189" s="43"/>
      <c r="EL189" s="43"/>
      <c r="EM189" s="43"/>
      <c r="EN189" s="43"/>
      <c r="EO189" s="43"/>
      <c r="EP189" s="43"/>
      <c r="EQ189" s="43"/>
      <c r="ER189" s="43"/>
      <c r="ES189" s="43"/>
      <c r="ET189" s="43"/>
      <c r="EU189" s="43"/>
      <c r="EV189" s="43"/>
      <c r="EW189" s="43"/>
      <c r="EX189" s="43"/>
      <c r="EY189" s="43"/>
      <c r="EZ189" s="43"/>
      <c r="FA189" s="43"/>
      <c r="FB189" s="43"/>
      <c r="FC189" s="43"/>
      <c r="FD189" s="43"/>
      <c r="FE189" s="43"/>
      <c r="FF189" s="43"/>
      <c r="FG189" s="43"/>
      <c r="FH189" s="43"/>
      <c r="FI189" s="43"/>
      <c r="FJ189" s="43"/>
      <c r="FK189" s="43"/>
      <c r="FL189" s="43"/>
      <c r="FM189" s="43"/>
      <c r="FN189" s="43"/>
      <c r="FO189" s="43"/>
      <c r="FP189" s="43"/>
      <c r="FQ189" s="43"/>
      <c r="FR189" s="43"/>
      <c r="FS189" s="43"/>
      <c r="FT189" s="43"/>
      <c r="FU189" s="43"/>
      <c r="FV189" s="43"/>
      <c r="FW189" s="43"/>
      <c r="FX189" s="43"/>
      <c r="FY189" s="43"/>
      <c r="FZ189" s="43"/>
      <c r="GA189" s="43"/>
      <c r="GB189" s="43"/>
      <c r="GC189" s="43"/>
      <c r="GD189" s="43"/>
      <c r="GE189" s="43"/>
      <c r="GF189" s="43"/>
      <c r="GG189" s="43"/>
      <c r="GH189" s="43"/>
      <c r="GI189" s="43"/>
      <c r="GJ189" s="43"/>
      <c r="GK189" s="43"/>
      <c r="GL189" s="43"/>
      <c r="GM189" s="43"/>
      <c r="GN189" s="43"/>
      <c r="GO189" s="43"/>
      <c r="GP189" s="43"/>
      <c r="GQ189" s="43"/>
      <c r="GR189" s="43"/>
      <c r="GS189" s="43"/>
      <c r="GT189" s="43"/>
      <c r="GU189" s="43"/>
      <c r="GV189" s="43"/>
      <c r="GW189" s="43"/>
    </row>
    <row r="190" ht="15.0" customHeight="1">
      <c r="A190" s="318"/>
      <c r="B190" s="91"/>
      <c r="C190" s="46"/>
      <c r="D190" s="46"/>
      <c r="E190" s="46"/>
      <c r="F190" s="46"/>
      <c r="G190" s="46"/>
      <c r="H190" s="46"/>
      <c r="I190" s="46"/>
      <c r="J190" s="46"/>
      <c r="K190" s="46"/>
      <c r="L190" s="46"/>
      <c r="M190" s="47"/>
      <c r="N190" s="528"/>
      <c r="O190" s="46"/>
      <c r="P190" s="46"/>
      <c r="Q190" s="47"/>
      <c r="R190" s="528"/>
      <c r="S190" s="46"/>
      <c r="T190" s="46"/>
      <c r="U190" s="47"/>
      <c r="V190" s="528"/>
      <c r="W190" s="46"/>
      <c r="X190" s="46"/>
      <c r="Y190" s="47"/>
      <c r="Z190" s="528"/>
      <c r="AA190" s="46"/>
      <c r="AB190" s="46"/>
      <c r="AC190" s="47"/>
      <c r="AD190" s="528"/>
      <c r="AE190" s="46"/>
      <c r="AF190" s="46"/>
      <c r="AG190" s="46"/>
      <c r="AH190" s="46"/>
      <c r="AI190" s="46"/>
      <c r="AJ190" s="46"/>
      <c r="AK190" s="47"/>
      <c r="AL190" s="127"/>
      <c r="AM190" s="46"/>
      <c r="AN190" s="46"/>
      <c r="AO190" s="46"/>
      <c r="AP190" s="46"/>
      <c r="AQ190" s="46"/>
      <c r="AR190" s="46"/>
      <c r="AS190" s="46"/>
      <c r="AT190" s="46"/>
      <c r="AU190" s="46"/>
      <c r="AV190" s="46"/>
      <c r="AW190" s="47"/>
      <c r="AX190" s="127"/>
      <c r="AY190" s="46"/>
      <c r="AZ190" s="46"/>
      <c r="BA190" s="47"/>
      <c r="BB190" s="127"/>
      <c r="BC190" s="46"/>
      <c r="BD190" s="46"/>
      <c r="BE190" s="47"/>
      <c r="BF190" s="127"/>
      <c r="BG190" s="46"/>
      <c r="BH190" s="46"/>
      <c r="BI190" s="47"/>
      <c r="BJ190" s="127"/>
      <c r="BK190" s="46"/>
      <c r="BL190" s="46"/>
      <c r="BM190" s="47"/>
      <c r="BN190" s="127"/>
      <c r="BO190" s="46"/>
      <c r="BP190" s="46"/>
      <c r="BQ190" s="46"/>
      <c r="BR190" s="46"/>
      <c r="BS190" s="46"/>
      <c r="BT190" s="46"/>
      <c r="BU190" s="47"/>
      <c r="BV190" s="70"/>
      <c r="BW190" s="57"/>
      <c r="BX190" s="58"/>
      <c r="BY190" s="70"/>
      <c r="BZ190" s="58"/>
      <c r="CA190" s="70"/>
      <c r="CB190" s="58"/>
      <c r="CC190" s="70"/>
      <c r="CD190" s="58"/>
      <c r="CE190" s="70"/>
      <c r="CF190" s="57"/>
      <c r="CG190" s="57"/>
      <c r="CH190" s="57"/>
      <c r="CI190" s="57"/>
      <c r="CJ190" s="57"/>
      <c r="CK190" s="57"/>
      <c r="CL190" s="57"/>
      <c r="CM190" s="57"/>
      <c r="CN190" s="58"/>
      <c r="CO190" s="529"/>
      <c r="CP190" s="59"/>
      <c r="CY190" s="60"/>
      <c r="CZ190" s="530"/>
      <c r="DA190" s="531"/>
      <c r="DB190" s="531"/>
      <c r="DC190" s="531"/>
      <c r="DD190" s="531"/>
      <c r="DE190" s="531"/>
      <c r="DF190" s="531"/>
      <c r="DG190" s="531"/>
      <c r="DH190" s="531"/>
      <c r="DI190" s="531"/>
      <c r="DJ190" s="532"/>
      <c r="DK190" s="53"/>
      <c r="DL190" s="43"/>
      <c r="DM190" s="43"/>
      <c r="DN190" s="43"/>
      <c r="DO190" s="43"/>
      <c r="DP190" s="43"/>
      <c r="DQ190" s="43"/>
      <c r="DR190" s="43"/>
      <c r="DS190" s="43"/>
      <c r="DT190" s="43"/>
      <c r="DU190" s="43"/>
      <c r="DV190" s="43"/>
      <c r="DW190" s="43"/>
      <c r="DX190" s="43"/>
      <c r="DY190" s="43"/>
      <c r="DZ190" s="43"/>
      <c r="EA190" s="43"/>
      <c r="EB190" s="43"/>
      <c r="EC190" s="43"/>
      <c r="ED190" s="43"/>
      <c r="EE190" s="43"/>
      <c r="EF190" s="43"/>
      <c r="EG190" s="43"/>
      <c r="EH190" s="43"/>
      <c r="EI190" s="43"/>
      <c r="EJ190" s="43"/>
      <c r="EK190" s="43"/>
      <c r="EL190" s="43"/>
      <c r="EM190" s="43"/>
      <c r="EN190" s="43"/>
      <c r="EO190" s="43"/>
      <c r="EP190" s="43"/>
      <c r="EQ190" s="43"/>
      <c r="ER190" s="43"/>
      <c r="ES190" s="43"/>
      <c r="ET190" s="43"/>
      <c r="EU190" s="43"/>
      <c r="EV190" s="43"/>
      <c r="EW190" s="43"/>
      <c r="EX190" s="43"/>
      <c r="EY190" s="43"/>
      <c r="EZ190" s="43"/>
      <c r="FA190" s="43"/>
      <c r="FB190" s="43"/>
      <c r="FC190" s="43"/>
      <c r="FD190" s="43"/>
      <c r="FE190" s="43"/>
      <c r="FF190" s="43"/>
      <c r="FG190" s="43"/>
      <c r="FH190" s="43"/>
      <c r="FI190" s="43"/>
      <c r="FJ190" s="43"/>
      <c r="FK190" s="43"/>
      <c r="FL190" s="43"/>
      <c r="FM190" s="43"/>
      <c r="FN190" s="43"/>
      <c r="FO190" s="43"/>
      <c r="FP190" s="43"/>
      <c r="FQ190" s="43"/>
      <c r="FR190" s="43"/>
      <c r="FS190" s="43"/>
      <c r="FT190" s="43"/>
      <c r="FU190" s="43"/>
      <c r="FV190" s="43"/>
      <c r="FW190" s="43"/>
      <c r="FX190" s="43"/>
      <c r="FY190" s="43"/>
      <c r="FZ190" s="43"/>
      <c r="GA190" s="43"/>
      <c r="GB190" s="43"/>
      <c r="GC190" s="43"/>
      <c r="GD190" s="43"/>
      <c r="GE190" s="43"/>
      <c r="GF190" s="43"/>
      <c r="GG190" s="43"/>
      <c r="GH190" s="43"/>
      <c r="GI190" s="43"/>
      <c r="GJ190" s="43"/>
      <c r="GK190" s="43"/>
      <c r="GL190" s="43"/>
      <c r="GM190" s="43"/>
      <c r="GN190" s="43"/>
      <c r="GO190" s="43"/>
      <c r="GP190" s="43"/>
      <c r="GQ190" s="43"/>
      <c r="GR190" s="43"/>
      <c r="GS190" s="43"/>
      <c r="GT190" s="43"/>
      <c r="GU190" s="43"/>
      <c r="GV190" s="43"/>
      <c r="GW190" s="43"/>
    </row>
    <row r="191" ht="15.0" customHeight="1">
      <c r="A191" s="106"/>
      <c r="B191" s="426"/>
      <c r="C191" s="426"/>
      <c r="D191" s="426"/>
      <c r="E191" s="426"/>
      <c r="F191" s="427"/>
      <c r="G191" s="428"/>
      <c r="H191" s="428"/>
      <c r="I191" s="428"/>
      <c r="J191" s="428"/>
      <c r="K191" s="428"/>
      <c r="L191" s="428"/>
      <c r="M191" s="426"/>
      <c r="N191" s="426"/>
      <c r="O191" s="426"/>
      <c r="P191" s="426"/>
      <c r="Q191" s="426"/>
      <c r="R191" s="426"/>
      <c r="S191" s="426"/>
      <c r="T191" s="426"/>
      <c r="U191" s="426"/>
      <c r="V191" s="429"/>
      <c r="W191" s="429"/>
      <c r="X191" s="429"/>
      <c r="Y191" s="429"/>
      <c r="Z191" s="426"/>
      <c r="AA191" s="426"/>
      <c r="AB191" s="426"/>
      <c r="AC191" s="426"/>
      <c r="AD191" s="426"/>
      <c r="AE191" s="426"/>
      <c r="AF191" s="426"/>
      <c r="AG191" s="426"/>
      <c r="AH191" s="426"/>
      <c r="AI191" s="426"/>
      <c r="AJ191" s="426"/>
      <c r="AK191" s="426"/>
      <c r="AL191" s="426"/>
      <c r="AM191" s="426"/>
      <c r="AN191" s="426"/>
      <c r="AO191" s="426"/>
      <c r="AP191" s="426"/>
      <c r="AQ191" s="426"/>
      <c r="AR191" s="426"/>
      <c r="AS191" s="426"/>
      <c r="AT191" s="426"/>
      <c r="AU191" s="426"/>
      <c r="AV191" s="426"/>
      <c r="AW191" s="426"/>
      <c r="AX191" s="426"/>
      <c r="AY191" s="426"/>
      <c r="AZ191" s="426"/>
      <c r="BA191" s="426"/>
      <c r="BB191" s="426"/>
      <c r="BC191" s="426"/>
      <c r="BD191" s="426"/>
      <c r="BE191" s="426"/>
      <c r="BF191" s="426"/>
      <c r="BG191" s="426"/>
      <c r="BH191" s="426"/>
      <c r="BI191" s="426"/>
      <c r="BJ191" s="426"/>
      <c r="BK191" s="426"/>
      <c r="BL191" s="426"/>
      <c r="BM191" s="426"/>
      <c r="BN191" s="426"/>
      <c r="BO191" s="426"/>
      <c r="BP191" s="426"/>
      <c r="BQ191" s="426"/>
      <c r="BR191" s="426"/>
      <c r="BS191" s="426"/>
      <c r="BT191" s="426"/>
      <c r="BU191" s="426"/>
      <c r="BV191" s="426"/>
      <c r="BW191" s="426"/>
      <c r="BX191" s="426"/>
      <c r="BY191" s="426"/>
      <c r="BZ191" s="426"/>
      <c r="CA191" s="426"/>
      <c r="CB191" s="426"/>
      <c r="CC191" s="426"/>
      <c r="CD191" s="426"/>
      <c r="CE191" s="426"/>
      <c r="CF191" s="426"/>
      <c r="CG191" s="426"/>
      <c r="CH191" s="426"/>
      <c r="CI191" s="426"/>
      <c r="CJ191" s="426"/>
      <c r="CK191" s="426"/>
      <c r="CL191" s="180"/>
      <c r="CM191" s="36"/>
      <c r="CN191" s="533"/>
      <c r="CO191" s="36"/>
      <c r="CP191" s="36"/>
      <c r="CQ191" s="36"/>
      <c r="CR191" s="36"/>
      <c r="CS191" s="36"/>
      <c r="CT191" s="36"/>
      <c r="CU191" s="36"/>
      <c r="CV191" s="36"/>
      <c r="CW191" s="36"/>
      <c r="CX191" s="36"/>
      <c r="CY191" s="36"/>
      <c r="CZ191" s="534"/>
      <c r="DA191" s="534"/>
      <c r="DB191" s="534"/>
      <c r="DC191" s="534"/>
      <c r="DD191" s="534"/>
      <c r="DE191" s="534"/>
      <c r="DF191" s="534"/>
      <c r="DG191" s="534"/>
      <c r="DH191" s="534"/>
      <c r="DI191" s="534"/>
      <c r="DJ191" s="534"/>
      <c r="DK191" s="535"/>
      <c r="DL191" s="43"/>
      <c r="DM191" s="43"/>
      <c r="DN191" s="43"/>
      <c r="DO191" s="43"/>
      <c r="DP191" s="43"/>
      <c r="DQ191" s="43"/>
      <c r="DR191" s="43"/>
      <c r="DS191" s="43"/>
      <c r="DT191" s="43"/>
      <c r="DU191" s="43"/>
      <c r="DV191" s="43"/>
      <c r="DW191" s="43"/>
      <c r="DX191" s="43"/>
      <c r="DY191" s="43"/>
      <c r="DZ191" s="43"/>
      <c r="EA191" s="43"/>
      <c r="EB191" s="43"/>
      <c r="EC191" s="43"/>
      <c r="ED191" s="43"/>
      <c r="EE191" s="43"/>
      <c r="EF191" s="43"/>
      <c r="EG191" s="43"/>
      <c r="EH191" s="43"/>
      <c r="EI191" s="43"/>
      <c r="EJ191" s="43"/>
      <c r="EK191" s="43"/>
      <c r="EL191" s="43"/>
      <c r="EM191" s="43"/>
      <c r="EN191" s="43"/>
      <c r="EO191" s="43"/>
      <c r="EP191" s="43"/>
      <c r="EQ191" s="43"/>
      <c r="ER191" s="43"/>
      <c r="ES191" s="43"/>
      <c r="ET191" s="43"/>
      <c r="EU191" s="43"/>
      <c r="EV191" s="43"/>
      <c r="EW191" s="43"/>
      <c r="EX191" s="43"/>
      <c r="EY191" s="43"/>
      <c r="EZ191" s="43"/>
      <c r="FA191" s="43"/>
      <c r="FB191" s="43"/>
      <c r="FC191" s="43"/>
      <c r="FD191" s="43"/>
      <c r="FE191" s="43"/>
      <c r="FF191" s="43"/>
      <c r="FG191" s="43"/>
      <c r="FH191" s="43"/>
      <c r="FI191" s="43"/>
      <c r="FJ191" s="43"/>
      <c r="FK191" s="43"/>
      <c r="FL191" s="43"/>
      <c r="FM191" s="43"/>
      <c r="FN191" s="43"/>
      <c r="FO191" s="43"/>
      <c r="FP191" s="43"/>
      <c r="FQ191" s="43"/>
      <c r="FR191" s="43"/>
      <c r="FS191" s="43"/>
      <c r="FT191" s="43"/>
      <c r="FU191" s="43"/>
      <c r="FV191" s="43"/>
      <c r="FW191" s="43"/>
      <c r="FX191" s="43"/>
      <c r="FY191" s="43"/>
      <c r="FZ191" s="43"/>
      <c r="GA191" s="43"/>
      <c r="GB191" s="43"/>
      <c r="GC191" s="43"/>
      <c r="GD191" s="43"/>
      <c r="GE191" s="43"/>
      <c r="GF191" s="43"/>
      <c r="GG191" s="43"/>
      <c r="GH191" s="43"/>
      <c r="GI191" s="43"/>
      <c r="GJ191" s="43"/>
      <c r="GK191" s="43"/>
      <c r="GL191" s="43"/>
      <c r="GM191" s="43"/>
      <c r="GN191" s="43"/>
      <c r="GO191" s="43"/>
      <c r="GP191" s="43"/>
      <c r="GQ191" s="43"/>
      <c r="GR191" s="43"/>
      <c r="GS191" s="43"/>
      <c r="GT191" s="43"/>
      <c r="GU191" s="43"/>
      <c r="GV191" s="43"/>
      <c r="GW191" s="43"/>
    </row>
  </sheetData>
  <mergeCells count="3027">
    <mergeCell ref="AJ2:AS2"/>
    <mergeCell ref="AJ5:AY5"/>
    <mergeCell ref="BS11:BT12"/>
    <mergeCell ref="BU11:BZ11"/>
    <mergeCell ref="BU12:BZ12"/>
    <mergeCell ref="BS13:BT14"/>
    <mergeCell ref="BU13:BZ13"/>
    <mergeCell ref="CA13:CN14"/>
    <mergeCell ref="BU14:BZ14"/>
    <mergeCell ref="AE5:AI14"/>
    <mergeCell ref="AJ12:AN12"/>
    <mergeCell ref="AO12:AQ12"/>
    <mergeCell ref="AJ13:AN13"/>
    <mergeCell ref="AO13:AQ13"/>
    <mergeCell ref="AJ14:AN14"/>
    <mergeCell ref="AO14:AQ14"/>
    <mergeCell ref="AR12:AT12"/>
    <mergeCell ref="AU12:AY12"/>
    <mergeCell ref="AR13:AT13"/>
    <mergeCell ref="AU13:AY13"/>
    <mergeCell ref="AR14:AT14"/>
    <mergeCell ref="AU14:AY14"/>
    <mergeCell ref="AZ12:BC12"/>
    <mergeCell ref="BD12:BG12"/>
    <mergeCell ref="AZ13:BC13"/>
    <mergeCell ref="BD13:BG13"/>
    <mergeCell ref="AZ14:BC14"/>
    <mergeCell ref="BD14:BG14"/>
    <mergeCell ref="BH12:BK12"/>
    <mergeCell ref="BL12:BM12"/>
    <mergeCell ref="BH13:BK13"/>
    <mergeCell ref="BL13:BM13"/>
    <mergeCell ref="BN13:BQ13"/>
    <mergeCell ref="BH14:BK14"/>
    <mergeCell ref="BL14:BM14"/>
    <mergeCell ref="BN14:BQ14"/>
    <mergeCell ref="AT2:BQ2"/>
    <mergeCell ref="BU2:CN2"/>
    <mergeCell ref="AZ5:BQ5"/>
    <mergeCell ref="BU6:BZ6"/>
    <mergeCell ref="BU8:BZ8"/>
    <mergeCell ref="BN10:BQ10"/>
    <mergeCell ref="CA11:CN12"/>
    <mergeCell ref="BN12:BQ12"/>
    <mergeCell ref="AJ10:AN10"/>
    <mergeCell ref="AO10:AQ10"/>
    <mergeCell ref="AR10:AT10"/>
    <mergeCell ref="AU10:AY10"/>
    <mergeCell ref="AZ10:BC10"/>
    <mergeCell ref="BD10:BG10"/>
    <mergeCell ref="BH10:BK10"/>
    <mergeCell ref="BL10:BM10"/>
    <mergeCell ref="BS15:BT16"/>
    <mergeCell ref="BU15:BZ15"/>
    <mergeCell ref="CA15:CN16"/>
    <mergeCell ref="BU16:BZ16"/>
    <mergeCell ref="N2:W14"/>
    <mergeCell ref="Y11:AA12"/>
    <mergeCell ref="Y13:AA14"/>
    <mergeCell ref="CQ10:CV10"/>
    <mergeCell ref="CQ11:CV11"/>
    <mergeCell ref="CO13:CP14"/>
    <mergeCell ref="CQ13:CV13"/>
    <mergeCell ref="CO16:CT16"/>
    <mergeCell ref="J16:W16"/>
    <mergeCell ref="X16:AF16"/>
    <mergeCell ref="AH16:BQ16"/>
    <mergeCell ref="B2:M2"/>
    <mergeCell ref="B9:M10"/>
    <mergeCell ref="B11:M11"/>
    <mergeCell ref="Y9:AA10"/>
    <mergeCell ref="AB9:AD10"/>
    <mergeCell ref="AJ9:AN9"/>
    <mergeCell ref="AO9:AQ9"/>
    <mergeCell ref="AO11:AQ11"/>
    <mergeCell ref="AR11:AT11"/>
    <mergeCell ref="AU11:AY11"/>
    <mergeCell ref="AZ11:BC11"/>
    <mergeCell ref="BD11:BG11"/>
    <mergeCell ref="AR9:AT9"/>
    <mergeCell ref="AU9:AY9"/>
    <mergeCell ref="AZ9:BC9"/>
    <mergeCell ref="BD9:BG9"/>
    <mergeCell ref="BH9:BK9"/>
    <mergeCell ref="BL9:BM9"/>
    <mergeCell ref="BH11:BK11"/>
    <mergeCell ref="BL11:BM11"/>
    <mergeCell ref="BN9:BQ9"/>
    <mergeCell ref="BS9:BT10"/>
    <mergeCell ref="BN11:BQ11"/>
    <mergeCell ref="P20:Q20"/>
    <mergeCell ref="R20:S20"/>
    <mergeCell ref="T20:U20"/>
    <mergeCell ref="V20:W20"/>
    <mergeCell ref="X20:Z20"/>
    <mergeCell ref="AA20:AC20"/>
    <mergeCell ref="AD20:AF20"/>
    <mergeCell ref="BG21:BH21"/>
    <mergeCell ref="BI21:BO21"/>
    <mergeCell ref="BP21:BQ21"/>
    <mergeCell ref="BS21:BT22"/>
    <mergeCell ref="BG22:BH22"/>
    <mergeCell ref="BI22:BO22"/>
    <mergeCell ref="BP22:BQ22"/>
    <mergeCell ref="AH22:AN22"/>
    <mergeCell ref="AO22:AP22"/>
    <mergeCell ref="AQ22:AW22"/>
    <mergeCell ref="AX22:AY22"/>
    <mergeCell ref="AZ22:BF22"/>
    <mergeCell ref="AH20:AN20"/>
    <mergeCell ref="AO20:AP20"/>
    <mergeCell ref="AH21:AN21"/>
    <mergeCell ref="AO21:AP21"/>
    <mergeCell ref="AQ21:AW21"/>
    <mergeCell ref="AX21:AY21"/>
    <mergeCell ref="AZ21:BF21"/>
    <mergeCell ref="AB11:AD12"/>
    <mergeCell ref="AJ11:AN11"/>
    <mergeCell ref="B12:M14"/>
    <mergeCell ref="AB13:AD14"/>
    <mergeCell ref="B15:AF15"/>
    <mergeCell ref="B16:E17"/>
    <mergeCell ref="F16:I16"/>
    <mergeCell ref="AH17:AN17"/>
    <mergeCell ref="BI17:BO17"/>
    <mergeCell ref="BP17:BQ17"/>
    <mergeCell ref="BS17:BT18"/>
    <mergeCell ref="BI18:BO18"/>
    <mergeCell ref="BP18:BQ18"/>
    <mergeCell ref="BS19:BT20"/>
    <mergeCell ref="BI20:BO20"/>
    <mergeCell ref="BP20:BQ20"/>
    <mergeCell ref="AA17:AC17"/>
    <mergeCell ref="AD17:AF17"/>
    <mergeCell ref="AO17:AP17"/>
    <mergeCell ref="AQ17:AW17"/>
    <mergeCell ref="AX17:AY17"/>
    <mergeCell ref="AZ17:BF17"/>
    <mergeCell ref="BG17:BH17"/>
    <mergeCell ref="AQ18:AW18"/>
    <mergeCell ref="AX18:AY18"/>
    <mergeCell ref="AZ18:BF18"/>
    <mergeCell ref="BG18:BH18"/>
    <mergeCell ref="N17:O17"/>
    <mergeCell ref="P17:Q17"/>
    <mergeCell ref="N18:O18"/>
    <mergeCell ref="P18:Q18"/>
    <mergeCell ref="X19:Z19"/>
    <mergeCell ref="AA19:AC19"/>
    <mergeCell ref="AD19:AF19"/>
    <mergeCell ref="J17:K17"/>
    <mergeCell ref="L17:M17"/>
    <mergeCell ref="J18:K18"/>
    <mergeCell ref="L18:M18"/>
    <mergeCell ref="J20:K20"/>
    <mergeCell ref="L20:M20"/>
    <mergeCell ref="N20:O20"/>
    <mergeCell ref="AQ19:AW19"/>
    <mergeCell ref="AQ20:AW20"/>
    <mergeCell ref="AX20:AY20"/>
    <mergeCell ref="AZ20:BF20"/>
    <mergeCell ref="BG20:BH20"/>
    <mergeCell ref="AH19:AN19"/>
    <mergeCell ref="AO19:AP19"/>
    <mergeCell ref="AX19:AY19"/>
    <mergeCell ref="AZ19:BF19"/>
    <mergeCell ref="BG19:BH19"/>
    <mergeCell ref="BI19:BO19"/>
    <mergeCell ref="BP19:BQ19"/>
    <mergeCell ref="P25:Q25"/>
    <mergeCell ref="R25:S25"/>
    <mergeCell ref="T25:U25"/>
    <mergeCell ref="V25:W25"/>
    <mergeCell ref="X25:Z25"/>
    <mergeCell ref="AA25:AC25"/>
    <mergeCell ref="AD25:AF25"/>
    <mergeCell ref="F24:G24"/>
    <mergeCell ref="C25:E25"/>
    <mergeCell ref="F25:G25"/>
    <mergeCell ref="H25:I25"/>
    <mergeCell ref="J25:K25"/>
    <mergeCell ref="L25:M25"/>
    <mergeCell ref="N25:O25"/>
    <mergeCell ref="C26:E26"/>
    <mergeCell ref="F26:G26"/>
    <mergeCell ref="H26:I26"/>
    <mergeCell ref="J26:K26"/>
    <mergeCell ref="L26:M26"/>
    <mergeCell ref="P26:Q26"/>
    <mergeCell ref="B27:AD27"/>
    <mergeCell ref="O29:P29"/>
    <mergeCell ref="Q29:R29"/>
    <mergeCell ref="O30:P30"/>
    <mergeCell ref="Q30:R30"/>
    <mergeCell ref="S30:T30"/>
    <mergeCell ref="U30:AD30"/>
    <mergeCell ref="N26:O26"/>
    <mergeCell ref="G28:P28"/>
    <mergeCell ref="Q28:T28"/>
    <mergeCell ref="U28:AD29"/>
    <mergeCell ref="G29:H29"/>
    <mergeCell ref="I29:J29"/>
    <mergeCell ref="K29:N29"/>
    <mergeCell ref="S29:T29"/>
    <mergeCell ref="B28:F29"/>
    <mergeCell ref="C30:F30"/>
    <mergeCell ref="G30:H30"/>
    <mergeCell ref="I30:J30"/>
    <mergeCell ref="K30:L30"/>
    <mergeCell ref="M30:N30"/>
    <mergeCell ref="C20:E20"/>
    <mergeCell ref="F20:G20"/>
    <mergeCell ref="B21:B23"/>
    <mergeCell ref="C21:E21"/>
    <mergeCell ref="F21:G21"/>
    <mergeCell ref="F22:G22"/>
    <mergeCell ref="B24:B26"/>
    <mergeCell ref="F17:G17"/>
    <mergeCell ref="H17:I17"/>
    <mergeCell ref="B18:B20"/>
    <mergeCell ref="C18:E18"/>
    <mergeCell ref="F18:G18"/>
    <mergeCell ref="H18:I18"/>
    <mergeCell ref="C19:E19"/>
    <mergeCell ref="T21:U21"/>
    <mergeCell ref="V21:W21"/>
    <mergeCell ref="X21:Z21"/>
    <mergeCell ref="AA21:AC21"/>
    <mergeCell ref="AD21:AF21"/>
    <mergeCell ref="H20:I20"/>
    <mergeCell ref="H21:I21"/>
    <mergeCell ref="J21:K21"/>
    <mergeCell ref="L21:M21"/>
    <mergeCell ref="N21:O21"/>
    <mergeCell ref="P21:Q21"/>
    <mergeCell ref="R21:S21"/>
    <mergeCell ref="V22:W22"/>
    <mergeCell ref="X22:Z22"/>
    <mergeCell ref="AA22:AC22"/>
    <mergeCell ref="AD22:AF22"/>
    <mergeCell ref="H22:I22"/>
    <mergeCell ref="J22:K22"/>
    <mergeCell ref="L22:M22"/>
    <mergeCell ref="N22:O22"/>
    <mergeCell ref="P22:Q22"/>
    <mergeCell ref="R22:S22"/>
    <mergeCell ref="T22:U22"/>
    <mergeCell ref="C23:E23"/>
    <mergeCell ref="F23:G23"/>
    <mergeCell ref="H23:I23"/>
    <mergeCell ref="J23:K23"/>
    <mergeCell ref="L23:M23"/>
    <mergeCell ref="N23:O23"/>
    <mergeCell ref="P23:Q23"/>
    <mergeCell ref="C22:E22"/>
    <mergeCell ref="C24:E24"/>
    <mergeCell ref="H24:I24"/>
    <mergeCell ref="J24:K24"/>
    <mergeCell ref="L24:M24"/>
    <mergeCell ref="N24:O24"/>
    <mergeCell ref="P24:Q24"/>
    <mergeCell ref="R26:S26"/>
    <mergeCell ref="T26:U26"/>
    <mergeCell ref="V26:W26"/>
    <mergeCell ref="X26:Z26"/>
    <mergeCell ref="AA26:AC26"/>
    <mergeCell ref="AD26:AF26"/>
    <mergeCell ref="AH26:AN26"/>
    <mergeCell ref="BD29:BF29"/>
    <mergeCell ref="BG29:BH29"/>
    <mergeCell ref="BI29:BL30"/>
    <mergeCell ref="BM29:BO30"/>
    <mergeCell ref="BP29:BR30"/>
    <mergeCell ref="BS29:BU30"/>
    <mergeCell ref="BD30:BF30"/>
    <mergeCell ref="BG30:BH30"/>
    <mergeCell ref="AI30:AL30"/>
    <mergeCell ref="AM30:AP30"/>
    <mergeCell ref="AQ30:AT30"/>
    <mergeCell ref="AU30:AW30"/>
    <mergeCell ref="AX30:AZ30"/>
    <mergeCell ref="BA30:BC30"/>
    <mergeCell ref="AO26:AP26"/>
    <mergeCell ref="AQ26:AW26"/>
    <mergeCell ref="AE28:BH28"/>
    <mergeCell ref="AE29:AT29"/>
    <mergeCell ref="AU29:AW29"/>
    <mergeCell ref="AX29:AZ29"/>
    <mergeCell ref="BA29:BC29"/>
    <mergeCell ref="R23:S23"/>
    <mergeCell ref="T23:U23"/>
    <mergeCell ref="V23:W23"/>
    <mergeCell ref="X23:Z23"/>
    <mergeCell ref="AA23:AC23"/>
    <mergeCell ref="AD23:AF23"/>
    <mergeCell ref="AH23:AN23"/>
    <mergeCell ref="AO23:AP23"/>
    <mergeCell ref="AO24:AP24"/>
    <mergeCell ref="AH25:AN25"/>
    <mergeCell ref="AO25:AP25"/>
    <mergeCell ref="AQ24:AW24"/>
    <mergeCell ref="AX24:AY24"/>
    <mergeCell ref="AQ25:AW25"/>
    <mergeCell ref="AX25:AY25"/>
    <mergeCell ref="AX26:AY26"/>
    <mergeCell ref="AZ24:BF24"/>
    <mergeCell ref="BG24:BH24"/>
    <mergeCell ref="AZ25:BF25"/>
    <mergeCell ref="BG25:BH25"/>
    <mergeCell ref="AZ26:BF26"/>
    <mergeCell ref="BG26:BH26"/>
    <mergeCell ref="BI24:BO24"/>
    <mergeCell ref="BP24:BQ24"/>
    <mergeCell ref="BI25:BO25"/>
    <mergeCell ref="BP25:BQ25"/>
    <mergeCell ref="BS25:BT26"/>
    <mergeCell ref="BI26:BO26"/>
    <mergeCell ref="BP26:BQ26"/>
    <mergeCell ref="AQ23:AW23"/>
    <mergeCell ref="AX23:AY23"/>
    <mergeCell ref="AZ23:BF23"/>
    <mergeCell ref="BG23:BH23"/>
    <mergeCell ref="BI23:BO23"/>
    <mergeCell ref="BP23:BQ23"/>
    <mergeCell ref="BS23:BT24"/>
    <mergeCell ref="R24:S24"/>
    <mergeCell ref="T24:U24"/>
    <mergeCell ref="V24:W24"/>
    <mergeCell ref="X24:Z24"/>
    <mergeCell ref="AA24:AC24"/>
    <mergeCell ref="AD24:AF24"/>
    <mergeCell ref="AH24:AN24"/>
    <mergeCell ref="BA32:BC32"/>
    <mergeCell ref="BD32:BF32"/>
    <mergeCell ref="M32:N32"/>
    <mergeCell ref="O32:P32"/>
    <mergeCell ref="Q32:R32"/>
    <mergeCell ref="S32:T32"/>
    <mergeCell ref="AI32:AT32"/>
    <mergeCell ref="AU32:AW32"/>
    <mergeCell ref="AX32:AZ32"/>
    <mergeCell ref="U33:AD33"/>
    <mergeCell ref="U34:AD34"/>
    <mergeCell ref="AF34:AH34"/>
    <mergeCell ref="U35:AD35"/>
    <mergeCell ref="AF35:AH35"/>
    <mergeCell ref="U36:AD36"/>
    <mergeCell ref="AF36:AH36"/>
    <mergeCell ref="U37:AD37"/>
    <mergeCell ref="T19:U19"/>
    <mergeCell ref="V19:W19"/>
    <mergeCell ref="AE30:AE35"/>
    <mergeCell ref="AF30:AH31"/>
    <mergeCell ref="U31:AD31"/>
    <mergeCell ref="U32:AD32"/>
    <mergeCell ref="AF32:AH33"/>
    <mergeCell ref="C35:F35"/>
    <mergeCell ref="G35:H35"/>
    <mergeCell ref="C36:F36"/>
    <mergeCell ref="G36:H36"/>
    <mergeCell ref="I36:J36"/>
    <mergeCell ref="K36:L36"/>
    <mergeCell ref="M36:N36"/>
    <mergeCell ref="O36:P36"/>
    <mergeCell ref="Q36:R36"/>
    <mergeCell ref="S36:T36"/>
    <mergeCell ref="C37:F37"/>
    <mergeCell ref="G37:H37"/>
    <mergeCell ref="I37:J37"/>
    <mergeCell ref="K37:L37"/>
    <mergeCell ref="M37:N37"/>
    <mergeCell ref="O37:P37"/>
    <mergeCell ref="Q37:R37"/>
    <mergeCell ref="S37:T37"/>
    <mergeCell ref="B30:B37"/>
    <mergeCell ref="C31:F31"/>
    <mergeCell ref="G31:H31"/>
    <mergeCell ref="I31:J31"/>
    <mergeCell ref="K31:L31"/>
    <mergeCell ref="M31:N31"/>
    <mergeCell ref="O31:P31"/>
    <mergeCell ref="C33:F33"/>
    <mergeCell ref="G33:H33"/>
    <mergeCell ref="M33:N33"/>
    <mergeCell ref="O33:P33"/>
    <mergeCell ref="C34:F34"/>
    <mergeCell ref="G34:H34"/>
    <mergeCell ref="I34:J34"/>
    <mergeCell ref="K34:L34"/>
    <mergeCell ref="M34:N34"/>
    <mergeCell ref="O34:P34"/>
    <mergeCell ref="I35:J35"/>
    <mergeCell ref="K35:L35"/>
    <mergeCell ref="M35:N35"/>
    <mergeCell ref="O35:P35"/>
    <mergeCell ref="Q35:R35"/>
    <mergeCell ref="S35:T35"/>
    <mergeCell ref="AX35:AZ35"/>
    <mergeCell ref="BA35:BC35"/>
    <mergeCell ref="AX36:AZ36"/>
    <mergeCell ref="BA36:BC36"/>
    <mergeCell ref="BD35:BF35"/>
    <mergeCell ref="BG35:BH35"/>
    <mergeCell ref="BD36:BF36"/>
    <mergeCell ref="BG36:BH36"/>
    <mergeCell ref="AI34:AT34"/>
    <mergeCell ref="AU34:AW34"/>
    <mergeCell ref="AX34:AZ34"/>
    <mergeCell ref="BA34:BC34"/>
    <mergeCell ref="BD34:BF34"/>
    <mergeCell ref="BG34:BH34"/>
    <mergeCell ref="AI35:AN35"/>
    <mergeCell ref="AO37:AT37"/>
    <mergeCell ref="AU37:AW37"/>
    <mergeCell ref="AX37:AZ37"/>
    <mergeCell ref="BA37:BC37"/>
    <mergeCell ref="BD37:BF37"/>
    <mergeCell ref="BG37:BH37"/>
    <mergeCell ref="AO35:AT35"/>
    <mergeCell ref="AU35:AW35"/>
    <mergeCell ref="AI36:AL36"/>
    <mergeCell ref="AM36:AP36"/>
    <mergeCell ref="AQ36:AT36"/>
    <mergeCell ref="AU36:AW36"/>
    <mergeCell ref="AI37:AN37"/>
    <mergeCell ref="F19:G19"/>
    <mergeCell ref="H19:I19"/>
    <mergeCell ref="J19:K19"/>
    <mergeCell ref="L19:M19"/>
    <mergeCell ref="N19:O19"/>
    <mergeCell ref="P19:Q19"/>
    <mergeCell ref="R19:S19"/>
    <mergeCell ref="BD31:BF31"/>
    <mergeCell ref="BG31:BH31"/>
    <mergeCell ref="BG32:BH32"/>
    <mergeCell ref="Q31:R31"/>
    <mergeCell ref="S31:T31"/>
    <mergeCell ref="AI31:AN31"/>
    <mergeCell ref="AO31:AT31"/>
    <mergeCell ref="AU31:AW31"/>
    <mergeCell ref="AX31:AZ31"/>
    <mergeCell ref="BA31:BC31"/>
    <mergeCell ref="C32:F32"/>
    <mergeCell ref="G32:H32"/>
    <mergeCell ref="I32:J32"/>
    <mergeCell ref="K32:L32"/>
    <mergeCell ref="Q34:R34"/>
    <mergeCell ref="S34:T34"/>
    <mergeCell ref="AU33:AW33"/>
    <mergeCell ref="AX33:AZ33"/>
    <mergeCell ref="BA33:BC33"/>
    <mergeCell ref="BD33:BF33"/>
    <mergeCell ref="BG33:BH33"/>
    <mergeCell ref="I33:J33"/>
    <mergeCell ref="K33:L33"/>
    <mergeCell ref="Q33:R33"/>
    <mergeCell ref="S33:T33"/>
    <mergeCell ref="AI33:AL33"/>
    <mergeCell ref="AM33:AP33"/>
    <mergeCell ref="AQ33:AT33"/>
    <mergeCell ref="BM39:BO39"/>
    <mergeCell ref="BP39:BR39"/>
    <mergeCell ref="BS39:BU39"/>
    <mergeCell ref="AI39:AT39"/>
    <mergeCell ref="AU39:AW39"/>
    <mergeCell ref="AX39:AZ39"/>
    <mergeCell ref="BA39:BC39"/>
    <mergeCell ref="BD39:BF39"/>
    <mergeCell ref="BG39:BH39"/>
    <mergeCell ref="BI39:BL39"/>
    <mergeCell ref="BP31:BR31"/>
    <mergeCell ref="BS31:BU31"/>
    <mergeCell ref="BI32:BL32"/>
    <mergeCell ref="BM32:BU32"/>
    <mergeCell ref="BM33:BO33"/>
    <mergeCell ref="BP33:BR33"/>
    <mergeCell ref="BS33:BU33"/>
    <mergeCell ref="BI34:BL34"/>
    <mergeCell ref="BI36:BL36"/>
    <mergeCell ref="BI37:BL37"/>
    <mergeCell ref="BM36:BO36"/>
    <mergeCell ref="BP36:BR36"/>
    <mergeCell ref="BM37:BO37"/>
    <mergeCell ref="BP37:BR37"/>
    <mergeCell ref="BS37:BU37"/>
    <mergeCell ref="BI33:BL33"/>
    <mergeCell ref="BM34:BO34"/>
    <mergeCell ref="BP34:BR34"/>
    <mergeCell ref="BS34:BU34"/>
    <mergeCell ref="BV34:BW34"/>
    <mergeCell ref="BX34:BY34"/>
    <mergeCell ref="BS36:BU36"/>
    <mergeCell ref="M38:N38"/>
    <mergeCell ref="O38:P38"/>
    <mergeCell ref="BD38:BF38"/>
    <mergeCell ref="BG38:BH38"/>
    <mergeCell ref="BI38:BL38"/>
    <mergeCell ref="BM38:BO38"/>
    <mergeCell ref="BP38:BR38"/>
    <mergeCell ref="BS38:BU38"/>
    <mergeCell ref="Q38:R38"/>
    <mergeCell ref="S38:T38"/>
    <mergeCell ref="AI38:AN38"/>
    <mergeCell ref="AO38:AT38"/>
    <mergeCell ref="AU38:AW38"/>
    <mergeCell ref="AX38:AZ38"/>
    <mergeCell ref="BA38:BC38"/>
    <mergeCell ref="K43:L43"/>
    <mergeCell ref="M43:N43"/>
    <mergeCell ref="K46:L46"/>
    <mergeCell ref="M46:N46"/>
    <mergeCell ref="O46:P46"/>
    <mergeCell ref="M47:N47"/>
    <mergeCell ref="O47:P47"/>
    <mergeCell ref="K47:L47"/>
    <mergeCell ref="K49:L49"/>
    <mergeCell ref="M49:N49"/>
    <mergeCell ref="O49:P49"/>
    <mergeCell ref="K50:L50"/>
    <mergeCell ref="M50:N50"/>
    <mergeCell ref="O50:P50"/>
    <mergeCell ref="I42:J42"/>
    <mergeCell ref="K42:L42"/>
    <mergeCell ref="M42:N42"/>
    <mergeCell ref="O42:P42"/>
    <mergeCell ref="I38:J38"/>
    <mergeCell ref="I43:J43"/>
    <mergeCell ref="I44:J44"/>
    <mergeCell ref="I46:J46"/>
    <mergeCell ref="I47:J47"/>
    <mergeCell ref="I49:J49"/>
    <mergeCell ref="I50:J50"/>
    <mergeCell ref="I51:J51"/>
    <mergeCell ref="O43:P43"/>
    <mergeCell ref="Q43:R43"/>
    <mergeCell ref="Q46:R46"/>
    <mergeCell ref="Q47:R47"/>
    <mergeCell ref="C48:F48"/>
    <mergeCell ref="G48:H48"/>
    <mergeCell ref="I48:J48"/>
    <mergeCell ref="K48:L48"/>
    <mergeCell ref="M48:N48"/>
    <mergeCell ref="O48:P48"/>
    <mergeCell ref="K51:L51"/>
    <mergeCell ref="M51:N51"/>
    <mergeCell ref="O51:P51"/>
    <mergeCell ref="Q51:R51"/>
    <mergeCell ref="BG45:BH45"/>
    <mergeCell ref="BI45:BL45"/>
    <mergeCell ref="BM45:BO45"/>
    <mergeCell ref="BP45:BQ45"/>
    <mergeCell ref="BR45:BS45"/>
    <mergeCell ref="BT45:BU45"/>
    <mergeCell ref="AI45:AL45"/>
    <mergeCell ref="AM45:AP45"/>
    <mergeCell ref="AQ45:AT45"/>
    <mergeCell ref="AU45:AW45"/>
    <mergeCell ref="AX45:AZ45"/>
    <mergeCell ref="BA45:BC45"/>
    <mergeCell ref="BD45:BF45"/>
    <mergeCell ref="BM46:BO46"/>
    <mergeCell ref="BP46:BQ46"/>
    <mergeCell ref="BR46:BS46"/>
    <mergeCell ref="BT46:BU46"/>
    <mergeCell ref="AI46:AT46"/>
    <mergeCell ref="AU46:AW46"/>
    <mergeCell ref="AX46:AZ46"/>
    <mergeCell ref="BA46:BC46"/>
    <mergeCell ref="BD46:BF46"/>
    <mergeCell ref="BG46:BH46"/>
    <mergeCell ref="BI46:BL46"/>
    <mergeCell ref="AU48:AW48"/>
    <mergeCell ref="AX48:AZ48"/>
    <mergeCell ref="CS48:CS55"/>
    <mergeCell ref="DB48:DB55"/>
    <mergeCell ref="CK50:CR51"/>
    <mergeCell ref="CT50:DA51"/>
    <mergeCell ref="AI47:AT47"/>
    <mergeCell ref="AU47:AW47"/>
    <mergeCell ref="AX47:AZ47"/>
    <mergeCell ref="BA47:BC47"/>
    <mergeCell ref="BD47:BF47"/>
    <mergeCell ref="BG47:BH47"/>
    <mergeCell ref="AI48:AT48"/>
    <mergeCell ref="BA48:BC48"/>
    <mergeCell ref="BD48:BF48"/>
    <mergeCell ref="BA49:BC49"/>
    <mergeCell ref="BD49:BF49"/>
    <mergeCell ref="BA50:BC50"/>
    <mergeCell ref="BD50:BF50"/>
    <mergeCell ref="BA51:BC51"/>
    <mergeCell ref="BD51:BF51"/>
    <mergeCell ref="BG49:BH49"/>
    <mergeCell ref="BI49:BJ49"/>
    <mergeCell ref="BK49:BM49"/>
    <mergeCell ref="BN49:BP49"/>
    <mergeCell ref="BQ49:BR49"/>
    <mergeCell ref="BS49:BW49"/>
    <mergeCell ref="BG50:BH50"/>
    <mergeCell ref="BI50:BJ51"/>
    <mergeCell ref="BG51:BH51"/>
    <mergeCell ref="BK50:BP50"/>
    <mergeCell ref="BQ50:BS50"/>
    <mergeCell ref="BK48:BM48"/>
    <mergeCell ref="BK51:BM51"/>
    <mergeCell ref="FT58:FU59"/>
    <mergeCell ref="FV58:FY58"/>
    <mergeCell ref="FV59:FY59"/>
    <mergeCell ref="GG59:GI59"/>
    <mergeCell ref="GJ59:GM59"/>
    <mergeCell ref="GN59:GP59"/>
    <mergeCell ref="GQ59:GT59"/>
    <mergeCell ref="GU59:GW59"/>
    <mergeCell ref="FF58:FG59"/>
    <mergeCell ref="FH58:FI59"/>
    <mergeCell ref="FJ58:FK59"/>
    <mergeCell ref="FL58:FM59"/>
    <mergeCell ref="FN58:FO59"/>
    <mergeCell ref="FP58:FQ59"/>
    <mergeCell ref="FR58:FS59"/>
    <mergeCell ref="DO46:DV46"/>
    <mergeCell ref="DW46:DY46"/>
    <mergeCell ref="DZ46:EB46"/>
    <mergeCell ref="EC46:EE46"/>
    <mergeCell ref="EF46:EH46"/>
    <mergeCell ref="EI46:EK46"/>
    <mergeCell ref="EL46:EN46"/>
    <mergeCell ref="DO47:DV47"/>
    <mergeCell ref="DW47:DY47"/>
    <mergeCell ref="DZ47:EB47"/>
    <mergeCell ref="EC47:EE47"/>
    <mergeCell ref="EF47:EH47"/>
    <mergeCell ref="EI47:EK47"/>
    <mergeCell ref="EL47:EN47"/>
    <mergeCell ref="EX57:EY57"/>
    <mergeCell ref="EZ57:FA57"/>
    <mergeCell ref="FB57:FC57"/>
    <mergeCell ref="FD57:FE57"/>
    <mergeCell ref="FF57:FG57"/>
    <mergeCell ref="FH57:FI57"/>
    <mergeCell ref="FJ57:FK57"/>
    <mergeCell ref="DP57:ED57"/>
    <mergeCell ref="EE57:EG57"/>
    <mergeCell ref="EH57:EL57"/>
    <mergeCell ref="EM57:EP57"/>
    <mergeCell ref="EQ57:ES57"/>
    <mergeCell ref="ET57:EU57"/>
    <mergeCell ref="EV57:EW57"/>
    <mergeCell ref="DP58:ES59"/>
    <mergeCell ref="ET58:EU59"/>
    <mergeCell ref="EV58:EW59"/>
    <mergeCell ref="EX58:EY59"/>
    <mergeCell ref="EZ58:FA59"/>
    <mergeCell ref="FB58:FC59"/>
    <mergeCell ref="FD58:FE59"/>
    <mergeCell ref="FL57:FM57"/>
    <mergeCell ref="FN57:FO57"/>
    <mergeCell ref="FP57:FQ57"/>
    <mergeCell ref="FR57:FS57"/>
    <mergeCell ref="FT57:FU57"/>
    <mergeCell ref="FV57:FY57"/>
    <mergeCell ref="FZ57:GB57"/>
    <mergeCell ref="FZ59:GB59"/>
    <mergeCell ref="GC59:GF59"/>
    <mergeCell ref="CF35:CG35"/>
    <mergeCell ref="CH35:CI35"/>
    <mergeCell ref="CF30:CG30"/>
    <mergeCell ref="CH30:CI30"/>
    <mergeCell ref="BV35:BW35"/>
    <mergeCell ref="BX35:BY35"/>
    <mergeCell ref="BZ35:CA35"/>
    <mergeCell ref="CB35:CC35"/>
    <mergeCell ref="CD35:CE35"/>
    <mergeCell ref="BV36:BW36"/>
    <mergeCell ref="BX36:BY36"/>
    <mergeCell ref="BZ36:CA36"/>
    <mergeCell ref="CB36:CC36"/>
    <mergeCell ref="CD36:CE36"/>
    <mergeCell ref="CF36:CG36"/>
    <mergeCell ref="CH36:CI36"/>
    <mergeCell ref="BV37:BW37"/>
    <mergeCell ref="BX37:BY37"/>
    <mergeCell ref="BZ37:CA37"/>
    <mergeCell ref="CB37:CC37"/>
    <mergeCell ref="CD37:CE37"/>
    <mergeCell ref="CF37:CG37"/>
    <mergeCell ref="CH37:CI37"/>
    <mergeCell ref="BX40:BY40"/>
    <mergeCell ref="BZ40:CA40"/>
    <mergeCell ref="CB40:CC40"/>
    <mergeCell ref="CD40:CE40"/>
    <mergeCell ref="CF40:CG40"/>
    <mergeCell ref="CH40:CI40"/>
    <mergeCell ref="BV41:CI41"/>
    <mergeCell ref="BV40:BW40"/>
    <mergeCell ref="BX42:BY42"/>
    <mergeCell ref="BZ42:CA42"/>
    <mergeCell ref="CB42:CC42"/>
    <mergeCell ref="CD42:CE42"/>
    <mergeCell ref="CF42:CG42"/>
    <mergeCell ref="CH42:CI42"/>
    <mergeCell ref="BV42:BW42"/>
    <mergeCell ref="BX43:BY43"/>
    <mergeCell ref="BZ43:CA43"/>
    <mergeCell ref="CB43:CC43"/>
    <mergeCell ref="CD43:CE43"/>
    <mergeCell ref="CF43:CG43"/>
    <mergeCell ref="CH43:CI43"/>
    <mergeCell ref="BX48:CA48"/>
    <mergeCell ref="CB48:CI49"/>
    <mergeCell ref="CK48:CR49"/>
    <mergeCell ref="CT48:DA49"/>
    <mergeCell ref="DC48:DJ49"/>
    <mergeCell ref="BX49:CA49"/>
    <mergeCell ref="DC50:DJ51"/>
    <mergeCell ref="BV43:BW43"/>
    <mergeCell ref="BX44:BY44"/>
    <mergeCell ref="BZ44:CA44"/>
    <mergeCell ref="CB44:CC44"/>
    <mergeCell ref="CD44:CE44"/>
    <mergeCell ref="CF44:CG44"/>
    <mergeCell ref="CH44:CI44"/>
    <mergeCell ref="BU9:BZ9"/>
    <mergeCell ref="CA9:CN10"/>
    <mergeCell ref="CO9:CP10"/>
    <mergeCell ref="CQ9:CV9"/>
    <mergeCell ref="CW9:DJ10"/>
    <mergeCell ref="BU10:BZ10"/>
    <mergeCell ref="CO11:CP12"/>
    <mergeCell ref="CW11:DJ12"/>
    <mergeCell ref="CQ12:CV12"/>
    <mergeCell ref="CW13:DJ14"/>
    <mergeCell ref="CQ14:CV14"/>
    <mergeCell ref="CO15:DJ15"/>
    <mergeCell ref="CU16:DJ16"/>
    <mergeCell ref="BU17:BZ17"/>
    <mergeCell ref="CA17:CN18"/>
    <mergeCell ref="CO17:CT18"/>
    <mergeCell ref="CU17:DJ18"/>
    <mergeCell ref="BU18:BZ18"/>
    <mergeCell ref="CA19:CN20"/>
    <mergeCell ref="CO19:CT20"/>
    <mergeCell ref="CU19:DJ20"/>
    <mergeCell ref="CA21:CN22"/>
    <mergeCell ref="CA23:CN24"/>
    <mergeCell ref="CO23:CT24"/>
    <mergeCell ref="CA25:CN26"/>
    <mergeCell ref="CO25:CT26"/>
    <mergeCell ref="CJ28:DJ28"/>
    <mergeCell ref="CJ29:DJ46"/>
    <mergeCell ref="BU19:BZ19"/>
    <mergeCell ref="BU20:BZ20"/>
    <mergeCell ref="BU21:BZ21"/>
    <mergeCell ref="CO21:CT22"/>
    <mergeCell ref="CU21:DJ22"/>
    <mergeCell ref="CU23:DJ24"/>
    <mergeCell ref="CU25:DJ26"/>
    <mergeCell ref="BV45:BW45"/>
    <mergeCell ref="BV46:BW46"/>
    <mergeCell ref="BX46:BY46"/>
    <mergeCell ref="BZ46:CA46"/>
    <mergeCell ref="CB46:CC46"/>
    <mergeCell ref="CD46:CE46"/>
    <mergeCell ref="CF46:CG46"/>
    <mergeCell ref="CH46:CI46"/>
    <mergeCell ref="BV44:BW44"/>
    <mergeCell ref="BX45:BY45"/>
    <mergeCell ref="BZ45:CA45"/>
    <mergeCell ref="CB45:CC45"/>
    <mergeCell ref="CD45:CE45"/>
    <mergeCell ref="CF45:CG45"/>
    <mergeCell ref="CH45:CI45"/>
    <mergeCell ref="BV38:BW38"/>
    <mergeCell ref="BX38:BY38"/>
    <mergeCell ref="BZ38:CA38"/>
    <mergeCell ref="CB38:CC38"/>
    <mergeCell ref="CD38:CE38"/>
    <mergeCell ref="CF38:CG38"/>
    <mergeCell ref="CH38:CI38"/>
    <mergeCell ref="BV39:BW39"/>
    <mergeCell ref="BX39:BY39"/>
    <mergeCell ref="BZ39:CA39"/>
    <mergeCell ref="CB39:CC39"/>
    <mergeCell ref="CD39:CE39"/>
    <mergeCell ref="CF39:CG39"/>
    <mergeCell ref="CH39:CI39"/>
    <mergeCell ref="DO42:DV42"/>
    <mergeCell ref="DW42:DY42"/>
    <mergeCell ref="DZ42:EB42"/>
    <mergeCell ref="EC42:EE42"/>
    <mergeCell ref="EF42:EH42"/>
    <mergeCell ref="EI42:EK42"/>
    <mergeCell ref="EL42:EN42"/>
    <mergeCell ref="DO43:DV43"/>
    <mergeCell ref="DW43:DY43"/>
    <mergeCell ref="DZ43:EB43"/>
    <mergeCell ref="EC43:EE43"/>
    <mergeCell ref="EF43:EH43"/>
    <mergeCell ref="EI43:EK43"/>
    <mergeCell ref="EL43:EN43"/>
    <mergeCell ref="DO44:DV44"/>
    <mergeCell ref="DW44:DY44"/>
    <mergeCell ref="DZ44:EB44"/>
    <mergeCell ref="EC44:EE44"/>
    <mergeCell ref="EF44:EH44"/>
    <mergeCell ref="EI44:EK44"/>
    <mergeCell ref="EL44:EN44"/>
    <mergeCell ref="DO45:DV45"/>
    <mergeCell ref="DW45:DY45"/>
    <mergeCell ref="DZ45:EB45"/>
    <mergeCell ref="EC45:EE45"/>
    <mergeCell ref="EF45:EH45"/>
    <mergeCell ref="EI45:EK45"/>
    <mergeCell ref="EL45:EN45"/>
    <mergeCell ref="DO48:DV48"/>
    <mergeCell ref="DW48:DY48"/>
    <mergeCell ref="DZ48:EB48"/>
    <mergeCell ref="EC48:EE48"/>
    <mergeCell ref="EF48:EH48"/>
    <mergeCell ref="EI48:EK48"/>
    <mergeCell ref="EL48:EN48"/>
    <mergeCell ref="GC57:GF57"/>
    <mergeCell ref="GG57:GI57"/>
    <mergeCell ref="GJ57:GM57"/>
    <mergeCell ref="GN57:GP57"/>
    <mergeCell ref="GQ57:GT57"/>
    <mergeCell ref="GU57:GW57"/>
    <mergeCell ref="FZ58:GB58"/>
    <mergeCell ref="GC58:GF58"/>
    <mergeCell ref="GG58:GI58"/>
    <mergeCell ref="GJ58:GM58"/>
    <mergeCell ref="GN58:GP58"/>
    <mergeCell ref="GQ58:GT58"/>
    <mergeCell ref="GU58:GW58"/>
    <mergeCell ref="AC58:AF58"/>
    <mergeCell ref="AG58:AI58"/>
    <mergeCell ref="F59:AI60"/>
    <mergeCell ref="AJ59:AK60"/>
    <mergeCell ref="AL59:AM60"/>
    <mergeCell ref="AN59:AO60"/>
    <mergeCell ref="AP59:AQ60"/>
    <mergeCell ref="F61:T61"/>
    <mergeCell ref="U61:X61"/>
    <mergeCell ref="Y61:AB61"/>
    <mergeCell ref="AC61:AF61"/>
    <mergeCell ref="AG61:AI61"/>
    <mergeCell ref="AJ61:AK61"/>
    <mergeCell ref="AL61:AM61"/>
    <mergeCell ref="AN61:AO61"/>
    <mergeCell ref="AP61:AQ61"/>
    <mergeCell ref="AR61:AS61"/>
    <mergeCell ref="AT61:AU61"/>
    <mergeCell ref="AV61:AW61"/>
    <mergeCell ref="AX61:AY61"/>
    <mergeCell ref="AZ61:BA61"/>
    <mergeCell ref="BS61:BV61"/>
    <mergeCell ref="BW61:BY61"/>
    <mergeCell ref="BZ61:CC61"/>
    <mergeCell ref="CD61:CF61"/>
    <mergeCell ref="CG61:CJ61"/>
    <mergeCell ref="CK61:CM61"/>
    <mergeCell ref="CO61:CT61"/>
    <mergeCell ref="CU61:CZ61"/>
    <mergeCell ref="BB61:BC61"/>
    <mergeCell ref="BD61:BE61"/>
    <mergeCell ref="BF61:BG61"/>
    <mergeCell ref="BH61:BI61"/>
    <mergeCell ref="BJ61:BK61"/>
    <mergeCell ref="BL61:BO61"/>
    <mergeCell ref="BP61:BR61"/>
    <mergeCell ref="BF58:BG58"/>
    <mergeCell ref="BH58:BI58"/>
    <mergeCell ref="BP58:BR58"/>
    <mergeCell ref="BS58:BV58"/>
    <mergeCell ref="BW58:BY58"/>
    <mergeCell ref="BZ58:CC58"/>
    <mergeCell ref="CD58:CF58"/>
    <mergeCell ref="CG58:CJ58"/>
    <mergeCell ref="BA55:BC55"/>
    <mergeCell ref="BD55:BF55"/>
    <mergeCell ref="BD56:BF56"/>
    <mergeCell ref="B57:CM57"/>
    <mergeCell ref="F58:T58"/>
    <mergeCell ref="U58:X58"/>
    <mergeCell ref="Y58:AB58"/>
    <mergeCell ref="CK58:CM58"/>
    <mergeCell ref="BZ60:CC60"/>
    <mergeCell ref="CD60:CF60"/>
    <mergeCell ref="CG60:CJ60"/>
    <mergeCell ref="CK60:CM60"/>
    <mergeCell ref="BJ58:BK58"/>
    <mergeCell ref="BL58:BO58"/>
    <mergeCell ref="BJ59:BK60"/>
    <mergeCell ref="BL60:BO60"/>
    <mergeCell ref="BP60:BR60"/>
    <mergeCell ref="BS60:BV60"/>
    <mergeCell ref="BW60:BY60"/>
    <mergeCell ref="AN64:AO64"/>
    <mergeCell ref="AP64:AQ64"/>
    <mergeCell ref="AR64:AS64"/>
    <mergeCell ref="AT64:AU64"/>
    <mergeCell ref="AV64:AW64"/>
    <mergeCell ref="AX64:AY64"/>
    <mergeCell ref="AZ64:BA64"/>
    <mergeCell ref="F64:T64"/>
    <mergeCell ref="U64:X64"/>
    <mergeCell ref="Y64:AB64"/>
    <mergeCell ref="AC64:AF64"/>
    <mergeCell ref="AG64:AI64"/>
    <mergeCell ref="AJ64:AK64"/>
    <mergeCell ref="AL64:AM64"/>
    <mergeCell ref="AZ73:BA73"/>
    <mergeCell ref="BB73:BC73"/>
    <mergeCell ref="BD73:BE73"/>
    <mergeCell ref="BF73:BG73"/>
    <mergeCell ref="BH73:BI73"/>
    <mergeCell ref="AL73:AM73"/>
    <mergeCell ref="AN73:AO73"/>
    <mergeCell ref="AP73:AQ73"/>
    <mergeCell ref="AR73:AS73"/>
    <mergeCell ref="AT73:AU73"/>
    <mergeCell ref="AV73:AW73"/>
    <mergeCell ref="AX73:AY73"/>
    <mergeCell ref="B73:E73"/>
    <mergeCell ref="F73:T73"/>
    <mergeCell ref="U73:X73"/>
    <mergeCell ref="Y73:AB73"/>
    <mergeCell ref="AC73:AF73"/>
    <mergeCell ref="AG73:AI73"/>
    <mergeCell ref="AJ73:AK73"/>
    <mergeCell ref="AT74:AU75"/>
    <mergeCell ref="AV74:AW75"/>
    <mergeCell ref="AX74:AY75"/>
    <mergeCell ref="AZ74:BA75"/>
    <mergeCell ref="BB74:BC75"/>
    <mergeCell ref="BD74:BE75"/>
    <mergeCell ref="BF74:BG75"/>
    <mergeCell ref="BH74:BI75"/>
    <mergeCell ref="B74:E75"/>
    <mergeCell ref="F74:AI75"/>
    <mergeCell ref="AJ74:AK75"/>
    <mergeCell ref="AL74:AM75"/>
    <mergeCell ref="AN74:AO75"/>
    <mergeCell ref="AP74:AQ75"/>
    <mergeCell ref="AR74:AS75"/>
    <mergeCell ref="CO65:CS65"/>
    <mergeCell ref="CT65:CZ65"/>
    <mergeCell ref="DA65:DJ65"/>
    <mergeCell ref="BP65:BR65"/>
    <mergeCell ref="BS65:BV65"/>
    <mergeCell ref="BW65:BY65"/>
    <mergeCell ref="BZ65:CC65"/>
    <mergeCell ref="CD65:CF65"/>
    <mergeCell ref="CG65:CJ65"/>
    <mergeCell ref="CK65:CM65"/>
    <mergeCell ref="BF59:BG60"/>
    <mergeCell ref="BH59:BI60"/>
    <mergeCell ref="AR59:AS60"/>
    <mergeCell ref="AT59:AU60"/>
    <mergeCell ref="AV59:AW60"/>
    <mergeCell ref="AX59:AY60"/>
    <mergeCell ref="AZ59:BA60"/>
    <mergeCell ref="BB59:BC60"/>
    <mergeCell ref="BD59:BE60"/>
    <mergeCell ref="AV62:AW63"/>
    <mergeCell ref="AX62:AY63"/>
    <mergeCell ref="AZ62:BA63"/>
    <mergeCell ref="BB62:BC63"/>
    <mergeCell ref="BD62:BE63"/>
    <mergeCell ref="BF62:BG63"/>
    <mergeCell ref="F62:AI63"/>
    <mergeCell ref="AJ62:AK63"/>
    <mergeCell ref="AL62:AM63"/>
    <mergeCell ref="AN62:AO63"/>
    <mergeCell ref="AP62:AQ63"/>
    <mergeCell ref="AR62:AS63"/>
    <mergeCell ref="AT62:AU63"/>
    <mergeCell ref="BS64:BV64"/>
    <mergeCell ref="BW64:BY64"/>
    <mergeCell ref="BZ64:CC64"/>
    <mergeCell ref="CD64:CF64"/>
    <mergeCell ref="CG64:CJ64"/>
    <mergeCell ref="CK64:CM64"/>
    <mergeCell ref="F65:AI66"/>
    <mergeCell ref="AJ65:AK66"/>
    <mergeCell ref="AL65:AM66"/>
    <mergeCell ref="AN65:AO66"/>
    <mergeCell ref="AP65:AQ66"/>
    <mergeCell ref="AR65:AS66"/>
    <mergeCell ref="AT65:AU66"/>
    <mergeCell ref="BB64:BC64"/>
    <mergeCell ref="BD64:BE64"/>
    <mergeCell ref="BF64:BG64"/>
    <mergeCell ref="BH64:BI64"/>
    <mergeCell ref="BJ64:BK64"/>
    <mergeCell ref="BL64:BO64"/>
    <mergeCell ref="BP64:BR64"/>
    <mergeCell ref="BZ67:CC67"/>
    <mergeCell ref="BZ68:CC68"/>
    <mergeCell ref="CD68:CF68"/>
    <mergeCell ref="CG68:CJ68"/>
    <mergeCell ref="CK68:CM68"/>
    <mergeCell ref="CO68:CQ68"/>
    <mergeCell ref="CR68:CS68"/>
    <mergeCell ref="BZ71:CC71"/>
    <mergeCell ref="CD71:CF71"/>
    <mergeCell ref="CG71:CJ71"/>
    <mergeCell ref="CK71:CM71"/>
    <mergeCell ref="BZ72:CC72"/>
    <mergeCell ref="CD72:CF72"/>
    <mergeCell ref="CG72:CJ72"/>
    <mergeCell ref="CK72:CM72"/>
    <mergeCell ref="BZ69:CC69"/>
    <mergeCell ref="BZ70:CC70"/>
    <mergeCell ref="CD70:CF70"/>
    <mergeCell ref="CG70:CJ70"/>
    <mergeCell ref="CK70:CM70"/>
    <mergeCell ref="CO70:CQ70"/>
    <mergeCell ref="CR70:CS70"/>
    <mergeCell ref="DF66:DH66"/>
    <mergeCell ref="DI66:DJ66"/>
    <mergeCell ref="CK66:CM66"/>
    <mergeCell ref="CO66:CQ66"/>
    <mergeCell ref="CR66:CS66"/>
    <mergeCell ref="CT66:CV66"/>
    <mergeCell ref="CX66:CZ66"/>
    <mergeCell ref="DA66:DC66"/>
    <mergeCell ref="DD66:DE66"/>
    <mergeCell ref="BL66:BO66"/>
    <mergeCell ref="BP66:BR66"/>
    <mergeCell ref="BS66:BV66"/>
    <mergeCell ref="BW66:BY66"/>
    <mergeCell ref="BZ66:CC66"/>
    <mergeCell ref="CD66:CF66"/>
    <mergeCell ref="CG66:CJ66"/>
    <mergeCell ref="CD67:CF67"/>
    <mergeCell ref="CG67:CJ67"/>
    <mergeCell ref="CK67:CM67"/>
    <mergeCell ref="CO67:CS67"/>
    <mergeCell ref="CT67:CX67"/>
    <mergeCell ref="CY67:DC67"/>
    <mergeCell ref="DD67:DJ67"/>
    <mergeCell ref="CT68:CV68"/>
    <mergeCell ref="CW68:CX68"/>
    <mergeCell ref="CY68:DA68"/>
    <mergeCell ref="DB68:DC68"/>
    <mergeCell ref="DD68:DF68"/>
    <mergeCell ref="DG68:DJ68"/>
    <mergeCell ref="CD69:CF69"/>
    <mergeCell ref="CG69:CJ69"/>
    <mergeCell ref="CK69:CM69"/>
    <mergeCell ref="CO69:CS69"/>
    <mergeCell ref="CT69:CX69"/>
    <mergeCell ref="CY69:DC69"/>
    <mergeCell ref="DD69:DJ69"/>
    <mergeCell ref="CT70:CV70"/>
    <mergeCell ref="CW70:CX70"/>
    <mergeCell ref="CY70:DA70"/>
    <mergeCell ref="DB70:DC70"/>
    <mergeCell ref="DD70:DH70"/>
    <mergeCell ref="DI70:DJ70"/>
    <mergeCell ref="CO71:DJ71"/>
    <mergeCell ref="CD73:CF73"/>
    <mergeCell ref="CG73:CJ73"/>
    <mergeCell ref="BJ73:BK73"/>
    <mergeCell ref="BJ74:BK75"/>
    <mergeCell ref="BL74:BO74"/>
    <mergeCell ref="BP74:BR74"/>
    <mergeCell ref="BS74:BV74"/>
    <mergeCell ref="BW74:BY74"/>
    <mergeCell ref="BZ74:CC74"/>
    <mergeCell ref="CD74:CF74"/>
    <mergeCell ref="CG74:CJ74"/>
    <mergeCell ref="CK74:CM74"/>
    <mergeCell ref="BL75:BO75"/>
    <mergeCell ref="BP75:BR75"/>
    <mergeCell ref="BS75:BV75"/>
    <mergeCell ref="BW75:BY75"/>
    <mergeCell ref="BZ75:CC75"/>
    <mergeCell ref="CD75:CF75"/>
    <mergeCell ref="CO72:DJ75"/>
    <mergeCell ref="BL73:BO73"/>
    <mergeCell ref="BP73:BR73"/>
    <mergeCell ref="BS73:BV73"/>
    <mergeCell ref="BW73:BY73"/>
    <mergeCell ref="BZ73:CC73"/>
    <mergeCell ref="CK73:CM73"/>
    <mergeCell ref="CG75:CJ75"/>
    <mergeCell ref="CK75:CM75"/>
    <mergeCell ref="B77:DJ77"/>
    <mergeCell ref="B78:G79"/>
    <mergeCell ref="H78:N79"/>
    <mergeCell ref="O78:U79"/>
    <mergeCell ref="V78:AB79"/>
    <mergeCell ref="AT78:DJ79"/>
    <mergeCell ref="CB80:CH81"/>
    <mergeCell ref="CI80:CO81"/>
    <mergeCell ref="CP80:CV81"/>
    <mergeCell ref="CW80:DC81"/>
    <mergeCell ref="DD80:DJ81"/>
    <mergeCell ref="AC78:AI79"/>
    <mergeCell ref="AJ78:AP79"/>
    <mergeCell ref="B80:G81"/>
    <mergeCell ref="H80:N81"/>
    <mergeCell ref="BG80:BM81"/>
    <mergeCell ref="BN80:BT81"/>
    <mergeCell ref="BU80:CA81"/>
    <mergeCell ref="B82:G83"/>
    <mergeCell ref="H82:N83"/>
    <mergeCell ref="BG82:BM83"/>
    <mergeCell ref="BN82:BT83"/>
    <mergeCell ref="BU82:CA83"/>
    <mergeCell ref="CB82:CH83"/>
    <mergeCell ref="CI82:CO83"/>
    <mergeCell ref="BN90:BT91"/>
    <mergeCell ref="BU90:CA91"/>
    <mergeCell ref="CB90:CH91"/>
    <mergeCell ref="CI90:CO91"/>
    <mergeCell ref="CP90:CV91"/>
    <mergeCell ref="CW90:DC91"/>
    <mergeCell ref="DD90:DJ91"/>
    <mergeCell ref="BG90:BM91"/>
    <mergeCell ref="BG92:BM93"/>
    <mergeCell ref="BN92:BT93"/>
    <mergeCell ref="BU92:CA93"/>
    <mergeCell ref="CB92:CH93"/>
    <mergeCell ref="CI92:CO93"/>
    <mergeCell ref="CP92:CV93"/>
    <mergeCell ref="CP94:CV95"/>
    <mergeCell ref="CW94:DC95"/>
    <mergeCell ref="CW92:DC93"/>
    <mergeCell ref="DD92:DJ93"/>
    <mergeCell ref="BN94:BT95"/>
    <mergeCell ref="BU94:CA95"/>
    <mergeCell ref="CB94:CH95"/>
    <mergeCell ref="CI94:CO95"/>
    <mergeCell ref="DD94:DJ95"/>
    <mergeCell ref="CW96:DC97"/>
    <mergeCell ref="DD96:DJ97"/>
    <mergeCell ref="BG94:BM95"/>
    <mergeCell ref="BG96:BM97"/>
    <mergeCell ref="BN96:BT97"/>
    <mergeCell ref="BU96:CA97"/>
    <mergeCell ref="CB96:CH97"/>
    <mergeCell ref="CI96:CO97"/>
    <mergeCell ref="CP96:CV97"/>
    <mergeCell ref="BN98:BT99"/>
    <mergeCell ref="BU98:CA99"/>
    <mergeCell ref="CB98:CH99"/>
    <mergeCell ref="CI98:CO99"/>
    <mergeCell ref="CP98:CV99"/>
    <mergeCell ref="CW98:DC99"/>
    <mergeCell ref="DD98:DJ99"/>
    <mergeCell ref="BG98:BM99"/>
    <mergeCell ref="BG100:BM101"/>
    <mergeCell ref="BN100:BT101"/>
    <mergeCell ref="BU100:CA101"/>
    <mergeCell ref="CB100:CH101"/>
    <mergeCell ref="CI100:CO101"/>
    <mergeCell ref="CP100:CV101"/>
    <mergeCell ref="CP102:CV103"/>
    <mergeCell ref="CW102:DC103"/>
    <mergeCell ref="CW100:DC101"/>
    <mergeCell ref="DD100:DJ101"/>
    <mergeCell ref="BN102:BT103"/>
    <mergeCell ref="BU102:CA103"/>
    <mergeCell ref="CB102:CH103"/>
    <mergeCell ref="CI102:CO103"/>
    <mergeCell ref="DD102:DJ103"/>
    <mergeCell ref="CI84:CO85"/>
    <mergeCell ref="CP84:CV85"/>
    <mergeCell ref="CW84:DC85"/>
    <mergeCell ref="DD84:DJ85"/>
    <mergeCell ref="CP82:CV83"/>
    <mergeCell ref="CW82:DC83"/>
    <mergeCell ref="DD82:DJ83"/>
    <mergeCell ref="BG84:BM85"/>
    <mergeCell ref="BN84:BT85"/>
    <mergeCell ref="BU84:CA85"/>
    <mergeCell ref="CB84:CH85"/>
    <mergeCell ref="BN86:BT87"/>
    <mergeCell ref="BU86:CA87"/>
    <mergeCell ref="CB86:CH87"/>
    <mergeCell ref="CI86:CO87"/>
    <mergeCell ref="CP86:CV87"/>
    <mergeCell ref="CW86:DC87"/>
    <mergeCell ref="DD86:DJ87"/>
    <mergeCell ref="CW88:DC89"/>
    <mergeCell ref="DD88:DJ89"/>
    <mergeCell ref="BG86:BM87"/>
    <mergeCell ref="BG88:BM89"/>
    <mergeCell ref="BN88:BT89"/>
    <mergeCell ref="BU88:CA89"/>
    <mergeCell ref="CB88:CH89"/>
    <mergeCell ref="CI88:CO89"/>
    <mergeCell ref="CP88:CV89"/>
    <mergeCell ref="BG106:BM107"/>
    <mergeCell ref="BN106:BT107"/>
    <mergeCell ref="BU106:CA107"/>
    <mergeCell ref="CB106:CH107"/>
    <mergeCell ref="CI106:CO107"/>
    <mergeCell ref="CP106:CV107"/>
    <mergeCell ref="CW106:DC107"/>
    <mergeCell ref="DD106:DJ107"/>
    <mergeCell ref="CP115:CV116"/>
    <mergeCell ref="CW115:DC116"/>
    <mergeCell ref="AS115:AY116"/>
    <mergeCell ref="AZ115:BF116"/>
    <mergeCell ref="BG115:BM116"/>
    <mergeCell ref="BN115:BT116"/>
    <mergeCell ref="BU115:CA116"/>
    <mergeCell ref="CB115:CH116"/>
    <mergeCell ref="CI115:CO116"/>
    <mergeCell ref="AS111:AY112"/>
    <mergeCell ref="AZ111:BF112"/>
    <mergeCell ref="AS113:AY114"/>
    <mergeCell ref="AZ113:BF114"/>
    <mergeCell ref="AE111:AK112"/>
    <mergeCell ref="AL111:AR112"/>
    <mergeCell ref="J113:P114"/>
    <mergeCell ref="Q113:W114"/>
    <mergeCell ref="X113:AD114"/>
    <mergeCell ref="AE113:AK114"/>
    <mergeCell ref="AL113:AR114"/>
    <mergeCell ref="BG102:BM103"/>
    <mergeCell ref="BG104:BM105"/>
    <mergeCell ref="BN104:BT105"/>
    <mergeCell ref="BU104:CA105"/>
    <mergeCell ref="CB104:CH105"/>
    <mergeCell ref="CI104:CO105"/>
    <mergeCell ref="CP104:CV105"/>
    <mergeCell ref="BG111:BM112"/>
    <mergeCell ref="BN111:BT112"/>
    <mergeCell ref="BG113:BM114"/>
    <mergeCell ref="BN113:BT114"/>
    <mergeCell ref="BU111:CA112"/>
    <mergeCell ref="CB111:CH112"/>
    <mergeCell ref="BU113:CA114"/>
    <mergeCell ref="CB113:CH114"/>
    <mergeCell ref="CI111:CO112"/>
    <mergeCell ref="CP111:CV112"/>
    <mergeCell ref="CI113:CO114"/>
    <mergeCell ref="CP113:CV114"/>
    <mergeCell ref="CW111:DC112"/>
    <mergeCell ref="DD111:DJ112"/>
    <mergeCell ref="CW113:DC114"/>
    <mergeCell ref="DD113:DJ114"/>
    <mergeCell ref="DD115:DJ116"/>
    <mergeCell ref="CW104:DC105"/>
    <mergeCell ref="DD104:DJ105"/>
    <mergeCell ref="B109:DJ110"/>
    <mergeCell ref="B111:I112"/>
    <mergeCell ref="J111:P112"/>
    <mergeCell ref="Q111:W112"/>
    <mergeCell ref="X111:AD112"/>
    <mergeCell ref="B113:I114"/>
    <mergeCell ref="B115:I116"/>
    <mergeCell ref="J115:P116"/>
    <mergeCell ref="Q115:W116"/>
    <mergeCell ref="X115:AD116"/>
    <mergeCell ref="AE115:AK116"/>
    <mergeCell ref="AL115:AR116"/>
    <mergeCell ref="CB121:CH122"/>
    <mergeCell ref="CI121:CO122"/>
    <mergeCell ref="AE121:AK122"/>
    <mergeCell ref="AL121:AR122"/>
    <mergeCell ref="AS121:AY122"/>
    <mergeCell ref="AZ121:BF122"/>
    <mergeCell ref="BG121:BM122"/>
    <mergeCell ref="BN121:BT122"/>
    <mergeCell ref="BU121:CA122"/>
    <mergeCell ref="CP117:CV118"/>
    <mergeCell ref="CW117:DC118"/>
    <mergeCell ref="DD117:DJ118"/>
    <mergeCell ref="AS117:AY118"/>
    <mergeCell ref="AZ117:BF118"/>
    <mergeCell ref="BG117:BM118"/>
    <mergeCell ref="BN117:BT118"/>
    <mergeCell ref="BU117:CA118"/>
    <mergeCell ref="CB117:CH118"/>
    <mergeCell ref="CI117:CO118"/>
    <mergeCell ref="B117:E117"/>
    <mergeCell ref="F117:I117"/>
    <mergeCell ref="J117:P118"/>
    <mergeCell ref="Q117:W118"/>
    <mergeCell ref="X117:AD118"/>
    <mergeCell ref="AE117:AK118"/>
    <mergeCell ref="AL117:AR118"/>
    <mergeCell ref="CP119:CV120"/>
    <mergeCell ref="CW119:DC120"/>
    <mergeCell ref="DD119:DJ120"/>
    <mergeCell ref="CP121:CV122"/>
    <mergeCell ref="CW121:DC122"/>
    <mergeCell ref="DD121:DJ122"/>
    <mergeCell ref="AS119:AY120"/>
    <mergeCell ref="AZ119:BF120"/>
    <mergeCell ref="BG119:BM120"/>
    <mergeCell ref="BN119:BT120"/>
    <mergeCell ref="BU119:CA120"/>
    <mergeCell ref="CB119:CH120"/>
    <mergeCell ref="CI119:CO120"/>
    <mergeCell ref="B118:E119"/>
    <mergeCell ref="F118:I119"/>
    <mergeCell ref="J119:P120"/>
    <mergeCell ref="Q119:W120"/>
    <mergeCell ref="X119:AD120"/>
    <mergeCell ref="AE119:AK120"/>
    <mergeCell ref="AL119:AR120"/>
    <mergeCell ref="CB123:CH124"/>
    <mergeCell ref="CI123:CO124"/>
    <mergeCell ref="CP123:CV124"/>
    <mergeCell ref="CW123:DC124"/>
    <mergeCell ref="DD123:DJ124"/>
    <mergeCell ref="AE123:AK124"/>
    <mergeCell ref="AL123:AR124"/>
    <mergeCell ref="AS123:AY124"/>
    <mergeCell ref="AZ123:BF124"/>
    <mergeCell ref="BG123:BM124"/>
    <mergeCell ref="BN123:BT124"/>
    <mergeCell ref="BU123:CA124"/>
    <mergeCell ref="B120:E120"/>
    <mergeCell ref="F120:I120"/>
    <mergeCell ref="B121:E121"/>
    <mergeCell ref="F121:I121"/>
    <mergeCell ref="J121:P122"/>
    <mergeCell ref="Q121:W122"/>
    <mergeCell ref="X121:AD122"/>
    <mergeCell ref="B122:E122"/>
    <mergeCell ref="F122:I122"/>
    <mergeCell ref="B123:E123"/>
    <mergeCell ref="F123:I123"/>
    <mergeCell ref="J123:P124"/>
    <mergeCell ref="Q123:W124"/>
    <mergeCell ref="X123:AD124"/>
    <mergeCell ref="CB125:CH126"/>
    <mergeCell ref="CI125:CO126"/>
    <mergeCell ref="CP125:CV126"/>
    <mergeCell ref="CW125:DC126"/>
    <mergeCell ref="DD125:DJ126"/>
    <mergeCell ref="AE125:AK126"/>
    <mergeCell ref="AL125:AR126"/>
    <mergeCell ref="AS125:AY126"/>
    <mergeCell ref="AZ125:BF126"/>
    <mergeCell ref="BG125:BM126"/>
    <mergeCell ref="BN125:BT126"/>
    <mergeCell ref="BU125:CA126"/>
    <mergeCell ref="B124:E124"/>
    <mergeCell ref="F124:I124"/>
    <mergeCell ref="B125:E125"/>
    <mergeCell ref="F125:I125"/>
    <mergeCell ref="J125:P126"/>
    <mergeCell ref="Q125:W126"/>
    <mergeCell ref="X125:AD126"/>
    <mergeCell ref="CP127:CV128"/>
    <mergeCell ref="CW127:DC128"/>
    <mergeCell ref="DD127:DJ128"/>
    <mergeCell ref="AS127:AY128"/>
    <mergeCell ref="AZ127:BF128"/>
    <mergeCell ref="BG127:BM128"/>
    <mergeCell ref="BN127:BT128"/>
    <mergeCell ref="BU127:CA128"/>
    <mergeCell ref="CB127:CH128"/>
    <mergeCell ref="CI127:CO128"/>
    <mergeCell ref="CS131:CX132"/>
    <mergeCell ref="CY131:DD132"/>
    <mergeCell ref="F128:I128"/>
    <mergeCell ref="B130:AE131"/>
    <mergeCell ref="AG130:BY130"/>
    <mergeCell ref="CA130:DJ130"/>
    <mergeCell ref="AG131:AK132"/>
    <mergeCell ref="AL131:AP132"/>
    <mergeCell ref="DE131:DJ132"/>
    <mergeCell ref="B126:E127"/>
    <mergeCell ref="F126:I127"/>
    <mergeCell ref="J127:P128"/>
    <mergeCell ref="Q127:W128"/>
    <mergeCell ref="X127:AD128"/>
    <mergeCell ref="AE127:AK128"/>
    <mergeCell ref="AL127:AR128"/>
    <mergeCell ref="AQ131:AU132"/>
    <mergeCell ref="AV131:AZ132"/>
    <mergeCell ref="AG133:AK134"/>
    <mergeCell ref="AL133:AP134"/>
    <mergeCell ref="AQ133:AU134"/>
    <mergeCell ref="AV133:AZ134"/>
    <mergeCell ref="BA131:BE132"/>
    <mergeCell ref="BF131:BJ132"/>
    <mergeCell ref="BA133:BE134"/>
    <mergeCell ref="BF133:BJ134"/>
    <mergeCell ref="BK131:BO132"/>
    <mergeCell ref="BP131:BT132"/>
    <mergeCell ref="BK133:BO134"/>
    <mergeCell ref="BP133:BT134"/>
    <mergeCell ref="BU133:BY134"/>
    <mergeCell ref="BU131:BY132"/>
    <mergeCell ref="CA131:CF132"/>
    <mergeCell ref="CA133:CF134"/>
    <mergeCell ref="CG131:CL132"/>
    <mergeCell ref="CM131:CR132"/>
    <mergeCell ref="CG133:CL134"/>
    <mergeCell ref="CM133:CR134"/>
    <mergeCell ref="CS133:CX134"/>
    <mergeCell ref="CY133:DD134"/>
    <mergeCell ref="DE133:DJ134"/>
    <mergeCell ref="B128:E128"/>
    <mergeCell ref="B132:E133"/>
    <mergeCell ref="F132:P133"/>
    <mergeCell ref="Q132:T133"/>
    <mergeCell ref="U132:AE133"/>
    <mergeCell ref="B134:E135"/>
    <mergeCell ref="F134:P135"/>
    <mergeCell ref="CS135:CX136"/>
    <mergeCell ref="CY135:DD136"/>
    <mergeCell ref="DE135:DJ136"/>
    <mergeCell ref="CS139:CX140"/>
    <mergeCell ref="CY139:DD140"/>
    <mergeCell ref="DE139:DJ140"/>
    <mergeCell ref="BF135:BJ136"/>
    <mergeCell ref="BK135:BO136"/>
    <mergeCell ref="BP135:BT136"/>
    <mergeCell ref="BU135:BY136"/>
    <mergeCell ref="CA135:CF136"/>
    <mergeCell ref="CG135:CL136"/>
    <mergeCell ref="CM135:CR136"/>
    <mergeCell ref="Q134:T135"/>
    <mergeCell ref="U134:AE135"/>
    <mergeCell ref="AG135:AK136"/>
    <mergeCell ref="AL135:AP136"/>
    <mergeCell ref="AQ135:AU136"/>
    <mergeCell ref="AV135:AZ136"/>
    <mergeCell ref="BA135:BE136"/>
    <mergeCell ref="CG137:CL138"/>
    <mergeCell ref="CM137:CR138"/>
    <mergeCell ref="CS137:CX138"/>
    <mergeCell ref="CY137:DD138"/>
    <mergeCell ref="DE137:DJ138"/>
    <mergeCell ref="DW138:EZ139"/>
    <mergeCell ref="FA138:FO139"/>
    <mergeCell ref="AV137:AZ138"/>
    <mergeCell ref="BA137:BE138"/>
    <mergeCell ref="BF137:BJ138"/>
    <mergeCell ref="BK137:BO138"/>
    <mergeCell ref="BP137:BT138"/>
    <mergeCell ref="BU137:BY138"/>
    <mergeCell ref="CA137:CF138"/>
    <mergeCell ref="B136:E137"/>
    <mergeCell ref="F136:P137"/>
    <mergeCell ref="Q136:T137"/>
    <mergeCell ref="U136:AE137"/>
    <mergeCell ref="AG137:AK138"/>
    <mergeCell ref="AL137:AP138"/>
    <mergeCell ref="AQ137:AU138"/>
    <mergeCell ref="B140:E141"/>
    <mergeCell ref="F140:P141"/>
    <mergeCell ref="Q140:T141"/>
    <mergeCell ref="U140:AE141"/>
    <mergeCell ref="B138:E139"/>
    <mergeCell ref="F138:P139"/>
    <mergeCell ref="Q138:T139"/>
    <mergeCell ref="U138:AE139"/>
    <mergeCell ref="AG139:AK140"/>
    <mergeCell ref="AL139:AP140"/>
    <mergeCell ref="AQ139:AU140"/>
    <mergeCell ref="CG139:CL140"/>
    <mergeCell ref="CM139:CR140"/>
    <mergeCell ref="AV139:AZ140"/>
    <mergeCell ref="BA139:BE140"/>
    <mergeCell ref="BF139:BJ140"/>
    <mergeCell ref="BK139:BO140"/>
    <mergeCell ref="BP139:BT140"/>
    <mergeCell ref="BU139:BY140"/>
    <mergeCell ref="CA139:CF140"/>
    <mergeCell ref="DE141:DJ142"/>
    <mergeCell ref="DW141:EN142"/>
    <mergeCell ref="BP141:BT142"/>
    <mergeCell ref="BU141:BY142"/>
    <mergeCell ref="CA141:CF142"/>
    <mergeCell ref="CG141:CL142"/>
    <mergeCell ref="CM141:CR142"/>
    <mergeCell ref="CS141:CX142"/>
    <mergeCell ref="CY141:DD142"/>
    <mergeCell ref="AG141:AK142"/>
    <mergeCell ref="AL141:AP142"/>
    <mergeCell ref="AQ141:AU142"/>
    <mergeCell ref="AV141:AZ142"/>
    <mergeCell ref="BA141:BE142"/>
    <mergeCell ref="BF141:BJ142"/>
    <mergeCell ref="BK141:BO142"/>
    <mergeCell ref="CG143:CL144"/>
    <mergeCell ref="CM143:CR144"/>
    <mergeCell ref="CS143:CX144"/>
    <mergeCell ref="CY143:DD144"/>
    <mergeCell ref="DE143:DJ144"/>
    <mergeCell ref="AV143:AZ144"/>
    <mergeCell ref="BA143:BE144"/>
    <mergeCell ref="BF143:BJ144"/>
    <mergeCell ref="BK143:BO144"/>
    <mergeCell ref="BP143:BT144"/>
    <mergeCell ref="BU143:BY144"/>
    <mergeCell ref="CA143:CF144"/>
    <mergeCell ref="B142:E143"/>
    <mergeCell ref="F142:P143"/>
    <mergeCell ref="Q142:T143"/>
    <mergeCell ref="U142:AE143"/>
    <mergeCell ref="AG143:AK144"/>
    <mergeCell ref="AL143:AP144"/>
    <mergeCell ref="AQ143:AU144"/>
    <mergeCell ref="CG145:CL146"/>
    <mergeCell ref="CM145:CR146"/>
    <mergeCell ref="CS145:CX146"/>
    <mergeCell ref="CY145:DD146"/>
    <mergeCell ref="DE145:DJ146"/>
    <mergeCell ref="F144:P145"/>
    <mergeCell ref="Q144:T145"/>
    <mergeCell ref="U144:AE145"/>
    <mergeCell ref="AG145:AK146"/>
    <mergeCell ref="AL145:AP146"/>
    <mergeCell ref="AQ145:AU146"/>
    <mergeCell ref="B146:AE146"/>
    <mergeCell ref="AV145:AZ146"/>
    <mergeCell ref="BA145:BE146"/>
    <mergeCell ref="BF145:BJ146"/>
    <mergeCell ref="BK145:BO146"/>
    <mergeCell ref="BP145:BT146"/>
    <mergeCell ref="BU145:BY146"/>
    <mergeCell ref="AV147:BY148"/>
    <mergeCell ref="B144:E145"/>
    <mergeCell ref="B147:K148"/>
    <mergeCell ref="L147:U148"/>
    <mergeCell ref="V147:AE148"/>
    <mergeCell ref="AG147:AK148"/>
    <mergeCell ref="AL147:AP148"/>
    <mergeCell ref="AQ147:AU148"/>
    <mergeCell ref="R153:U154"/>
    <mergeCell ref="V153:Y154"/>
    <mergeCell ref="DE147:DJ148"/>
    <mergeCell ref="DH153:DI153"/>
    <mergeCell ref="CZ154:DA154"/>
    <mergeCell ref="DB154:DC154"/>
    <mergeCell ref="DD154:DE154"/>
    <mergeCell ref="DF154:DG154"/>
    <mergeCell ref="DH154:DI154"/>
    <mergeCell ref="CA145:CF146"/>
    <mergeCell ref="CA147:CF148"/>
    <mergeCell ref="CG147:CL148"/>
    <mergeCell ref="CM147:CR148"/>
    <mergeCell ref="CS147:CX148"/>
    <mergeCell ref="CY147:DD148"/>
    <mergeCell ref="CE150:DJ150"/>
    <mergeCell ref="Z153:AC154"/>
    <mergeCell ref="AD153:AK154"/>
    <mergeCell ref="AL153:AW154"/>
    <mergeCell ref="AX153:BA154"/>
    <mergeCell ref="BB153:BE154"/>
    <mergeCell ref="BF153:BI154"/>
    <mergeCell ref="BJ153:BM154"/>
    <mergeCell ref="BN153:BU154"/>
    <mergeCell ref="BV153:BZ154"/>
    <mergeCell ref="CA153:CD154"/>
    <mergeCell ref="CZ153:DA153"/>
    <mergeCell ref="DB153:DC153"/>
    <mergeCell ref="DD153:DE153"/>
    <mergeCell ref="DF153:DG153"/>
    <mergeCell ref="DL153:DV153"/>
    <mergeCell ref="AX155:BA155"/>
    <mergeCell ref="BB155:BE155"/>
    <mergeCell ref="BF155:BI155"/>
    <mergeCell ref="BJ155:BM155"/>
    <mergeCell ref="BN155:BU155"/>
    <mergeCell ref="BV155:BZ156"/>
    <mergeCell ref="CA155:CD156"/>
    <mergeCell ref="BN156:BU156"/>
    <mergeCell ref="BF156:BI156"/>
    <mergeCell ref="AX158:BA158"/>
    <mergeCell ref="BB158:BE158"/>
    <mergeCell ref="BF158:BI158"/>
    <mergeCell ref="BJ158:BM158"/>
    <mergeCell ref="BN158:BU158"/>
    <mergeCell ref="CZ158:DA158"/>
    <mergeCell ref="DB158:DC158"/>
    <mergeCell ref="DD158:DE158"/>
    <mergeCell ref="DF158:DG158"/>
    <mergeCell ref="DH158:DI158"/>
    <mergeCell ref="BJ156:BM156"/>
    <mergeCell ref="BV157:BZ158"/>
    <mergeCell ref="CA157:CD158"/>
    <mergeCell ref="CE157:CJ158"/>
    <mergeCell ref="CK157:CN158"/>
    <mergeCell ref="CP157:CU158"/>
    <mergeCell ref="CV157:CY158"/>
    <mergeCell ref="DD157:DE157"/>
    <mergeCell ref="DF157:DG157"/>
    <mergeCell ref="CZ156:DA156"/>
    <mergeCell ref="DB156:DC156"/>
    <mergeCell ref="DD156:DE156"/>
    <mergeCell ref="DF156:DG156"/>
    <mergeCell ref="DH156:DI156"/>
    <mergeCell ref="CZ157:DA157"/>
    <mergeCell ref="DB157:DC157"/>
    <mergeCell ref="DH157:DI157"/>
    <mergeCell ref="AX160:BA160"/>
    <mergeCell ref="BB160:BE160"/>
    <mergeCell ref="AX159:BA159"/>
    <mergeCell ref="BB159:BE159"/>
    <mergeCell ref="BF159:BI159"/>
    <mergeCell ref="BJ159:BM159"/>
    <mergeCell ref="BN159:BU159"/>
    <mergeCell ref="BV159:BZ160"/>
    <mergeCell ref="CA159:CD160"/>
    <mergeCell ref="CE153:CN154"/>
    <mergeCell ref="CP153:CY154"/>
    <mergeCell ref="B150:CD150"/>
    <mergeCell ref="B151:BU152"/>
    <mergeCell ref="BV151:CD152"/>
    <mergeCell ref="CE151:CY152"/>
    <mergeCell ref="CZ151:DJ152"/>
    <mergeCell ref="B153:M154"/>
    <mergeCell ref="N153:Q154"/>
    <mergeCell ref="DB155:DC155"/>
    <mergeCell ref="DD155:DE155"/>
    <mergeCell ref="DF155:DG155"/>
    <mergeCell ref="DH155:DI155"/>
    <mergeCell ref="B155:M155"/>
    <mergeCell ref="N155:Q155"/>
    <mergeCell ref="R155:U155"/>
    <mergeCell ref="V155:Y155"/>
    <mergeCell ref="Z155:AC155"/>
    <mergeCell ref="AD155:AK155"/>
    <mergeCell ref="AL155:AW155"/>
    <mergeCell ref="CE155:CG156"/>
    <mergeCell ref="CH155:CK156"/>
    <mergeCell ref="CL155:CN156"/>
    <mergeCell ref="CP155:CR156"/>
    <mergeCell ref="CS155:CV156"/>
    <mergeCell ref="CW155:CY156"/>
    <mergeCell ref="CZ155:DA155"/>
    <mergeCell ref="AX157:BA157"/>
    <mergeCell ref="BB157:BE157"/>
    <mergeCell ref="BF157:BI157"/>
    <mergeCell ref="BJ157:BM157"/>
    <mergeCell ref="BN157:BU157"/>
    <mergeCell ref="B157:M157"/>
    <mergeCell ref="N157:Q157"/>
    <mergeCell ref="R157:U157"/>
    <mergeCell ref="V157:Y157"/>
    <mergeCell ref="Z157:AC157"/>
    <mergeCell ref="AD157:AK157"/>
    <mergeCell ref="AL157:AW157"/>
    <mergeCell ref="CZ160:DA160"/>
    <mergeCell ref="DB160:DC160"/>
    <mergeCell ref="CE159:CJ160"/>
    <mergeCell ref="CK159:CN160"/>
    <mergeCell ref="CP159:CU160"/>
    <mergeCell ref="CV159:CY160"/>
    <mergeCell ref="CZ159:DA159"/>
    <mergeCell ref="DB159:DC159"/>
    <mergeCell ref="DD159:DE159"/>
    <mergeCell ref="DD160:DE160"/>
    <mergeCell ref="AX156:BA156"/>
    <mergeCell ref="BB156:BE156"/>
    <mergeCell ref="B156:M156"/>
    <mergeCell ref="N156:Q156"/>
    <mergeCell ref="R156:U156"/>
    <mergeCell ref="V156:Y156"/>
    <mergeCell ref="Z156:AC156"/>
    <mergeCell ref="AD156:AK156"/>
    <mergeCell ref="AL156:AW156"/>
    <mergeCell ref="B158:M158"/>
    <mergeCell ref="N158:Q158"/>
    <mergeCell ref="R158:U158"/>
    <mergeCell ref="V158:Y158"/>
    <mergeCell ref="Z158:AC158"/>
    <mergeCell ref="AD158:AK158"/>
    <mergeCell ref="AL158:AW158"/>
    <mergeCell ref="DF159:DG159"/>
    <mergeCell ref="DH159:DI159"/>
    <mergeCell ref="DF160:DG160"/>
    <mergeCell ref="DH160:DI160"/>
    <mergeCell ref="B159:M159"/>
    <mergeCell ref="N159:Q159"/>
    <mergeCell ref="R159:U159"/>
    <mergeCell ref="V159:Y159"/>
    <mergeCell ref="Z159:AC159"/>
    <mergeCell ref="AD159:AK159"/>
    <mergeCell ref="AL159:AW159"/>
    <mergeCell ref="BF160:BI160"/>
    <mergeCell ref="BJ160:BM160"/>
    <mergeCell ref="BN160:BU160"/>
    <mergeCell ref="B160:M160"/>
    <mergeCell ref="N160:Q160"/>
    <mergeCell ref="R160:U160"/>
    <mergeCell ref="V160:Y160"/>
    <mergeCell ref="Z160:AC160"/>
    <mergeCell ref="AD160:AK160"/>
    <mergeCell ref="AL160:AW160"/>
    <mergeCell ref="CZ162:DA162"/>
    <mergeCell ref="DB162:DC162"/>
    <mergeCell ref="CE161:CJ162"/>
    <mergeCell ref="CK161:CN162"/>
    <mergeCell ref="CP161:CU162"/>
    <mergeCell ref="CV161:CY162"/>
    <mergeCell ref="CZ161:DA161"/>
    <mergeCell ref="DB161:DC161"/>
    <mergeCell ref="DD161:DE161"/>
    <mergeCell ref="DF161:DG161"/>
    <mergeCell ref="DH161:DI161"/>
    <mergeCell ref="B161:M161"/>
    <mergeCell ref="N161:Q161"/>
    <mergeCell ref="R161:U161"/>
    <mergeCell ref="V161:Y161"/>
    <mergeCell ref="Z161:AC161"/>
    <mergeCell ref="AD161:AK161"/>
    <mergeCell ref="AL161:AW161"/>
    <mergeCell ref="AX162:BA162"/>
    <mergeCell ref="BB162:BE162"/>
    <mergeCell ref="BF162:BI162"/>
    <mergeCell ref="BJ162:BM162"/>
    <mergeCell ref="AX161:BA161"/>
    <mergeCell ref="BB161:BE161"/>
    <mergeCell ref="BF161:BI161"/>
    <mergeCell ref="BJ161:BM161"/>
    <mergeCell ref="BN161:BU161"/>
    <mergeCell ref="BV161:BZ162"/>
    <mergeCell ref="CA161:CD162"/>
    <mergeCell ref="BN162:BU162"/>
    <mergeCell ref="DD162:DE162"/>
    <mergeCell ref="DF162:DG162"/>
    <mergeCell ref="DH162:DI162"/>
    <mergeCell ref="B162:M162"/>
    <mergeCell ref="N162:Q162"/>
    <mergeCell ref="R162:U162"/>
    <mergeCell ref="V162:Y162"/>
    <mergeCell ref="Z162:AC162"/>
    <mergeCell ref="AD162:AK162"/>
    <mergeCell ref="AL162:AW162"/>
    <mergeCell ref="AX164:BA164"/>
    <mergeCell ref="BB164:BE164"/>
    <mergeCell ref="B164:M164"/>
    <mergeCell ref="N164:Q164"/>
    <mergeCell ref="R164:U164"/>
    <mergeCell ref="V164:Y164"/>
    <mergeCell ref="Z164:AC164"/>
    <mergeCell ref="AD164:AK164"/>
    <mergeCell ref="AL164:AW164"/>
    <mergeCell ref="AX167:BA167"/>
    <mergeCell ref="BB167:BE167"/>
    <mergeCell ref="BF167:BI167"/>
    <mergeCell ref="BJ167:BM167"/>
    <mergeCell ref="BN167:BU167"/>
    <mergeCell ref="B167:M167"/>
    <mergeCell ref="N167:Q167"/>
    <mergeCell ref="R167:U167"/>
    <mergeCell ref="V167:Y167"/>
    <mergeCell ref="Z167:AC167"/>
    <mergeCell ref="AD167:AK167"/>
    <mergeCell ref="AL167:AW167"/>
    <mergeCell ref="AX177:BA177"/>
    <mergeCell ref="BB177:BE177"/>
    <mergeCell ref="BF177:BI177"/>
    <mergeCell ref="BJ177:BM177"/>
    <mergeCell ref="BN177:BU177"/>
    <mergeCell ref="B177:M177"/>
    <mergeCell ref="N177:Q177"/>
    <mergeCell ref="R177:U177"/>
    <mergeCell ref="V177:Y177"/>
    <mergeCell ref="Z177:AC177"/>
    <mergeCell ref="AD177:AK177"/>
    <mergeCell ref="AL177:AW177"/>
    <mergeCell ref="B171:M171"/>
    <mergeCell ref="N171:Q171"/>
    <mergeCell ref="R171:U171"/>
    <mergeCell ref="V171:Y171"/>
    <mergeCell ref="Z171:AC171"/>
    <mergeCell ref="AD171:AK171"/>
    <mergeCell ref="AL171:AW171"/>
    <mergeCell ref="B172:M172"/>
    <mergeCell ref="N172:Q172"/>
    <mergeCell ref="R172:U172"/>
    <mergeCell ref="V172:Y172"/>
    <mergeCell ref="Z172:AC172"/>
    <mergeCell ref="AD172:AK172"/>
    <mergeCell ref="AL172:AW172"/>
    <mergeCell ref="AX174:BA174"/>
    <mergeCell ref="BB174:BE174"/>
    <mergeCell ref="BF174:BI174"/>
    <mergeCell ref="BJ174:BM174"/>
    <mergeCell ref="BN174:BU174"/>
    <mergeCell ref="B174:M174"/>
    <mergeCell ref="N174:Q174"/>
    <mergeCell ref="R174:U174"/>
    <mergeCell ref="V174:Y174"/>
    <mergeCell ref="Z174:AC174"/>
    <mergeCell ref="AD174:AK174"/>
    <mergeCell ref="AL174:AW174"/>
    <mergeCell ref="AX175:BA175"/>
    <mergeCell ref="BB175:BE175"/>
    <mergeCell ref="BF175:BI175"/>
    <mergeCell ref="BJ175:BM175"/>
    <mergeCell ref="BN175:BU175"/>
    <mergeCell ref="B175:M175"/>
    <mergeCell ref="N175:Q175"/>
    <mergeCell ref="R175:U175"/>
    <mergeCell ref="V175:Y175"/>
    <mergeCell ref="Z175:AC175"/>
    <mergeCell ref="AD175:AK175"/>
    <mergeCell ref="AL175:AW175"/>
    <mergeCell ref="AX178:BA178"/>
    <mergeCell ref="BB178:BE178"/>
    <mergeCell ref="BF178:BI178"/>
    <mergeCell ref="BJ178:BM178"/>
    <mergeCell ref="BN178:BU178"/>
    <mergeCell ref="B178:M178"/>
    <mergeCell ref="N178:Q178"/>
    <mergeCell ref="R178:U178"/>
    <mergeCell ref="V178:Y178"/>
    <mergeCell ref="Z178:AC178"/>
    <mergeCell ref="AD178:AK178"/>
    <mergeCell ref="AL178:AW178"/>
    <mergeCell ref="B163:M163"/>
    <mergeCell ref="N163:Q163"/>
    <mergeCell ref="R163:U163"/>
    <mergeCell ref="V163:Y163"/>
    <mergeCell ref="Z163:AC163"/>
    <mergeCell ref="AD163:AK163"/>
    <mergeCell ref="AL163:AW163"/>
    <mergeCell ref="BF164:BI164"/>
    <mergeCell ref="BJ164:BM164"/>
    <mergeCell ref="AX163:BA163"/>
    <mergeCell ref="BB163:BE163"/>
    <mergeCell ref="BF163:BI163"/>
    <mergeCell ref="BJ163:BM163"/>
    <mergeCell ref="BN163:BU163"/>
    <mergeCell ref="BV163:BZ164"/>
    <mergeCell ref="CA163:CD164"/>
    <mergeCell ref="BN164:BU164"/>
    <mergeCell ref="CZ164:DA164"/>
    <mergeCell ref="DB164:DC164"/>
    <mergeCell ref="CZ165:DA165"/>
    <mergeCell ref="DB165:DC165"/>
    <mergeCell ref="DD164:DE164"/>
    <mergeCell ref="DF164:DG164"/>
    <mergeCell ref="DD165:DE165"/>
    <mergeCell ref="DF165:DG165"/>
    <mergeCell ref="DH165:DI165"/>
    <mergeCell ref="CE163:CN164"/>
    <mergeCell ref="CP163:CY164"/>
    <mergeCell ref="CZ163:DA163"/>
    <mergeCell ref="DB163:DC163"/>
    <mergeCell ref="DD163:DE163"/>
    <mergeCell ref="DF163:DG163"/>
    <mergeCell ref="DH163:DI163"/>
    <mergeCell ref="DH164:DI164"/>
    <mergeCell ref="B165:M165"/>
    <mergeCell ref="N165:Q165"/>
    <mergeCell ref="R165:U165"/>
    <mergeCell ref="V165:Y165"/>
    <mergeCell ref="Z165:AC165"/>
    <mergeCell ref="AD165:AK165"/>
    <mergeCell ref="AL165:AW165"/>
    <mergeCell ref="AX166:BA166"/>
    <mergeCell ref="BB166:BE166"/>
    <mergeCell ref="BF166:BI166"/>
    <mergeCell ref="BJ166:BM166"/>
    <mergeCell ref="AX165:BA165"/>
    <mergeCell ref="BB165:BE165"/>
    <mergeCell ref="BF165:BI165"/>
    <mergeCell ref="BJ165:BM165"/>
    <mergeCell ref="BN165:BU165"/>
    <mergeCell ref="BV165:BZ166"/>
    <mergeCell ref="CA165:CD166"/>
    <mergeCell ref="BN166:BU166"/>
    <mergeCell ref="CE165:CH166"/>
    <mergeCell ref="CI165:CN166"/>
    <mergeCell ref="CP165:CS166"/>
    <mergeCell ref="CT165:CY166"/>
    <mergeCell ref="CZ166:DA166"/>
    <mergeCell ref="DB166:DC166"/>
    <mergeCell ref="DD166:DE166"/>
    <mergeCell ref="B166:M166"/>
    <mergeCell ref="N166:Q166"/>
    <mergeCell ref="R166:U166"/>
    <mergeCell ref="V166:Y166"/>
    <mergeCell ref="Z166:AC166"/>
    <mergeCell ref="AD166:AK166"/>
    <mergeCell ref="AL166:AW166"/>
    <mergeCell ref="B168:M168"/>
    <mergeCell ref="N168:Q168"/>
    <mergeCell ref="R168:U168"/>
    <mergeCell ref="V168:Y168"/>
    <mergeCell ref="Z168:AC168"/>
    <mergeCell ref="AD168:AK168"/>
    <mergeCell ref="AL168:AW168"/>
    <mergeCell ref="DD168:DE168"/>
    <mergeCell ref="DF168:DG168"/>
    <mergeCell ref="DH168:DI168"/>
    <mergeCell ref="DF166:DG166"/>
    <mergeCell ref="DH166:DI166"/>
    <mergeCell ref="CZ167:DA167"/>
    <mergeCell ref="DB167:DC167"/>
    <mergeCell ref="DD167:DE167"/>
    <mergeCell ref="DF167:DG167"/>
    <mergeCell ref="DH167:DI167"/>
    <mergeCell ref="AX168:BA168"/>
    <mergeCell ref="BB168:BE168"/>
    <mergeCell ref="BF168:BI168"/>
    <mergeCell ref="BJ168:BM168"/>
    <mergeCell ref="BN168:BU168"/>
    <mergeCell ref="CE168:CN169"/>
    <mergeCell ref="BN169:BU169"/>
    <mergeCell ref="AX171:BA171"/>
    <mergeCell ref="BB171:BE171"/>
    <mergeCell ref="BF171:BI171"/>
    <mergeCell ref="BJ171:BM171"/>
    <mergeCell ref="AX170:BA170"/>
    <mergeCell ref="AX172:BA172"/>
    <mergeCell ref="BB172:BE172"/>
    <mergeCell ref="BF172:BI172"/>
    <mergeCell ref="BJ172:BM172"/>
    <mergeCell ref="BN172:BU172"/>
    <mergeCell ref="BB170:BE170"/>
    <mergeCell ref="BF170:BI170"/>
    <mergeCell ref="BJ170:BM170"/>
    <mergeCell ref="BN170:BU170"/>
    <mergeCell ref="CE170:CH172"/>
    <mergeCell ref="CI170:CN172"/>
    <mergeCell ref="BN171:BU171"/>
    <mergeCell ref="CZ168:DA168"/>
    <mergeCell ref="DB168:DC168"/>
    <mergeCell ref="AX169:BA169"/>
    <mergeCell ref="BB169:BE169"/>
    <mergeCell ref="BF169:BI169"/>
    <mergeCell ref="BJ169:BM169"/>
    <mergeCell ref="CP168:CY169"/>
    <mergeCell ref="CZ169:DA169"/>
    <mergeCell ref="DB169:DC169"/>
    <mergeCell ref="DD169:DE169"/>
    <mergeCell ref="DF169:DG169"/>
    <mergeCell ref="DH169:DI169"/>
    <mergeCell ref="B169:M169"/>
    <mergeCell ref="N169:Q169"/>
    <mergeCell ref="R169:U169"/>
    <mergeCell ref="V169:Y169"/>
    <mergeCell ref="Z169:AC169"/>
    <mergeCell ref="AD169:AK169"/>
    <mergeCell ref="AL169:AW169"/>
    <mergeCell ref="B170:M170"/>
    <mergeCell ref="N170:Q170"/>
    <mergeCell ref="R170:U170"/>
    <mergeCell ref="V170:Y170"/>
    <mergeCell ref="Z170:AC170"/>
    <mergeCell ref="AD170:AK170"/>
    <mergeCell ref="AL170:AW170"/>
    <mergeCell ref="AX173:BA173"/>
    <mergeCell ref="BB173:BE173"/>
    <mergeCell ref="BF173:BI173"/>
    <mergeCell ref="BJ173:BM173"/>
    <mergeCell ref="BN173:BU173"/>
    <mergeCell ref="B173:M173"/>
    <mergeCell ref="N173:Q173"/>
    <mergeCell ref="R173:U173"/>
    <mergeCell ref="V173:Y173"/>
    <mergeCell ref="Z173:AC173"/>
    <mergeCell ref="AD173:AK173"/>
    <mergeCell ref="AL173:AW173"/>
    <mergeCell ref="CZ171:DA171"/>
    <mergeCell ref="DB171:DC171"/>
    <mergeCell ref="CV172:CY173"/>
    <mergeCell ref="DB172:DC172"/>
    <mergeCell ref="CE173:CH175"/>
    <mergeCell ref="CI173:CN175"/>
    <mergeCell ref="DB173:DC173"/>
    <mergeCell ref="CV174:CY175"/>
    <mergeCell ref="CZ174:DA174"/>
    <mergeCell ref="CZ175:DA175"/>
    <mergeCell ref="CV176:CY177"/>
    <mergeCell ref="CZ176:DA176"/>
    <mergeCell ref="BV177:CD178"/>
    <mergeCell ref="CE177:CN178"/>
    <mergeCell ref="DF182:DG182"/>
    <mergeCell ref="DH182:DI182"/>
    <mergeCell ref="CZ183:DA183"/>
    <mergeCell ref="DB183:DC183"/>
    <mergeCell ref="DH179:DI179"/>
    <mergeCell ref="DD180:DE180"/>
    <mergeCell ref="DF180:DG180"/>
    <mergeCell ref="DH180:DI180"/>
    <mergeCell ref="CZ182:DA182"/>
    <mergeCell ref="DB182:DC182"/>
    <mergeCell ref="DD182:DE182"/>
    <mergeCell ref="DH181:DI181"/>
    <mergeCell ref="DD183:DE183"/>
    <mergeCell ref="DF183:DG183"/>
    <mergeCell ref="DH183:DI183"/>
    <mergeCell ref="DD173:DE173"/>
    <mergeCell ref="DF174:DG174"/>
    <mergeCell ref="DH174:DI174"/>
    <mergeCell ref="DU174:EF183"/>
    <mergeCell ref="DF175:DG175"/>
    <mergeCell ref="DH175:DI175"/>
    <mergeCell ref="DH177:DI177"/>
    <mergeCell ref="AX181:BA181"/>
    <mergeCell ref="BB181:BE181"/>
    <mergeCell ref="BF181:BI181"/>
    <mergeCell ref="BJ181:BM181"/>
    <mergeCell ref="BN181:BU181"/>
    <mergeCell ref="B181:M181"/>
    <mergeCell ref="N181:Q181"/>
    <mergeCell ref="R181:U181"/>
    <mergeCell ref="V181:Y181"/>
    <mergeCell ref="Z181:AC181"/>
    <mergeCell ref="AD181:AK181"/>
    <mergeCell ref="AL181:AW181"/>
    <mergeCell ref="B187:M187"/>
    <mergeCell ref="N187:Q187"/>
    <mergeCell ref="R187:U187"/>
    <mergeCell ref="V187:Y187"/>
    <mergeCell ref="Z187:AC187"/>
    <mergeCell ref="AD187:AK187"/>
    <mergeCell ref="AL187:AW187"/>
    <mergeCell ref="B188:M188"/>
    <mergeCell ref="N188:Q188"/>
    <mergeCell ref="R188:U188"/>
    <mergeCell ref="V188:Y188"/>
    <mergeCell ref="Z188:AC188"/>
    <mergeCell ref="AD188:AK188"/>
    <mergeCell ref="AL188:AW188"/>
    <mergeCell ref="AX176:BA176"/>
    <mergeCell ref="BB176:BE176"/>
    <mergeCell ref="BF176:BI176"/>
    <mergeCell ref="BJ176:BM176"/>
    <mergeCell ref="BN176:BU176"/>
    <mergeCell ref="B176:M176"/>
    <mergeCell ref="N176:Q176"/>
    <mergeCell ref="R176:U176"/>
    <mergeCell ref="V176:Y176"/>
    <mergeCell ref="Z176:AC176"/>
    <mergeCell ref="AD176:AK176"/>
    <mergeCell ref="AL176:AW176"/>
    <mergeCell ref="AX179:BA179"/>
    <mergeCell ref="BB179:BE179"/>
    <mergeCell ref="BF179:BI179"/>
    <mergeCell ref="BJ179:BM179"/>
    <mergeCell ref="BN179:BU179"/>
    <mergeCell ref="B179:M179"/>
    <mergeCell ref="N179:Q179"/>
    <mergeCell ref="R179:U179"/>
    <mergeCell ref="V179:Y179"/>
    <mergeCell ref="Z179:AC179"/>
    <mergeCell ref="AD179:AK179"/>
    <mergeCell ref="AL179:AW179"/>
    <mergeCell ref="AX180:BA180"/>
    <mergeCell ref="BB180:BE180"/>
    <mergeCell ref="BF180:BI180"/>
    <mergeCell ref="BJ180:BM180"/>
    <mergeCell ref="BN180:BU180"/>
    <mergeCell ref="B180:M180"/>
    <mergeCell ref="N180:Q180"/>
    <mergeCell ref="R180:U180"/>
    <mergeCell ref="V180:Y180"/>
    <mergeCell ref="Z180:AC180"/>
    <mergeCell ref="AD180:AK180"/>
    <mergeCell ref="AL180:AW180"/>
    <mergeCell ref="AX190:BA190"/>
    <mergeCell ref="BB190:BE190"/>
    <mergeCell ref="BF190:BI190"/>
    <mergeCell ref="BJ190:BM190"/>
    <mergeCell ref="BN190:BU190"/>
    <mergeCell ref="B190:M190"/>
    <mergeCell ref="N190:Q190"/>
    <mergeCell ref="R190:U190"/>
    <mergeCell ref="V190:Y190"/>
    <mergeCell ref="Z190:AC190"/>
    <mergeCell ref="AD190:AK190"/>
    <mergeCell ref="AL190:AW190"/>
    <mergeCell ref="AX182:BA182"/>
    <mergeCell ref="BB182:BE182"/>
    <mergeCell ref="BF182:BI182"/>
    <mergeCell ref="BJ182:BM182"/>
    <mergeCell ref="BN182:BU182"/>
    <mergeCell ref="B182:M182"/>
    <mergeCell ref="N182:Q182"/>
    <mergeCell ref="R182:U182"/>
    <mergeCell ref="V182:Y182"/>
    <mergeCell ref="Z182:AC182"/>
    <mergeCell ref="AD182:AK182"/>
    <mergeCell ref="AL182:AW182"/>
    <mergeCell ref="AX184:BA184"/>
    <mergeCell ref="BB184:BE184"/>
    <mergeCell ref="BF184:BI184"/>
    <mergeCell ref="BJ184:BM184"/>
    <mergeCell ref="AX183:BA183"/>
    <mergeCell ref="BB183:BE183"/>
    <mergeCell ref="BF183:BI183"/>
    <mergeCell ref="BJ183:BM183"/>
    <mergeCell ref="BN183:BU183"/>
    <mergeCell ref="BV183:BX184"/>
    <mergeCell ref="BY183:BZ184"/>
    <mergeCell ref="BN184:BU184"/>
    <mergeCell ref="CX183:CY184"/>
    <mergeCell ref="CZ184:DA184"/>
    <mergeCell ref="DB184:DC184"/>
    <mergeCell ref="DD184:DE184"/>
    <mergeCell ref="DF184:DG184"/>
    <mergeCell ref="DH184:DI184"/>
    <mergeCell ref="CA183:CB184"/>
    <mergeCell ref="CC183:CD184"/>
    <mergeCell ref="CE183:CJ184"/>
    <mergeCell ref="CK183:CN184"/>
    <mergeCell ref="CP183:CQ184"/>
    <mergeCell ref="CR183:CU184"/>
    <mergeCell ref="CV183:CW184"/>
    <mergeCell ref="B183:M183"/>
    <mergeCell ref="N183:Q183"/>
    <mergeCell ref="R183:U183"/>
    <mergeCell ref="V183:Y183"/>
    <mergeCell ref="Z183:AC183"/>
    <mergeCell ref="AD183:AK183"/>
    <mergeCell ref="AL183:AW183"/>
    <mergeCell ref="B184:M184"/>
    <mergeCell ref="N184:Q184"/>
    <mergeCell ref="R184:U184"/>
    <mergeCell ref="V184:Y184"/>
    <mergeCell ref="Z184:AC184"/>
    <mergeCell ref="AD184:AK184"/>
    <mergeCell ref="AL184:AW184"/>
    <mergeCell ref="DB185:DC185"/>
    <mergeCell ref="DD185:DE185"/>
    <mergeCell ref="DF185:DG185"/>
    <mergeCell ref="DH185:DI185"/>
    <mergeCell ref="AX186:BA186"/>
    <mergeCell ref="BB186:BE186"/>
    <mergeCell ref="BF186:BI186"/>
    <mergeCell ref="BJ186:BM186"/>
    <mergeCell ref="AX185:BA185"/>
    <mergeCell ref="BB185:BE185"/>
    <mergeCell ref="BF185:BI185"/>
    <mergeCell ref="BJ185:BM185"/>
    <mergeCell ref="BN185:BU185"/>
    <mergeCell ref="BV185:BX186"/>
    <mergeCell ref="BY185:BZ186"/>
    <mergeCell ref="BN186:BU186"/>
    <mergeCell ref="CZ186:DA186"/>
    <mergeCell ref="DB186:DC186"/>
    <mergeCell ref="DD186:DE186"/>
    <mergeCell ref="DF186:DG186"/>
    <mergeCell ref="DH186:DI186"/>
    <mergeCell ref="CA185:CB186"/>
    <mergeCell ref="CC185:CD186"/>
    <mergeCell ref="CE185:CJ186"/>
    <mergeCell ref="CK185:CN186"/>
    <mergeCell ref="CP185:CU186"/>
    <mergeCell ref="CV185:CY186"/>
    <mergeCell ref="CZ185:DA185"/>
    <mergeCell ref="B185:M185"/>
    <mergeCell ref="N185:Q185"/>
    <mergeCell ref="R185:U185"/>
    <mergeCell ref="V185:Y185"/>
    <mergeCell ref="Z185:AC185"/>
    <mergeCell ref="AD185:AK185"/>
    <mergeCell ref="AL185:AW185"/>
    <mergeCell ref="B186:M186"/>
    <mergeCell ref="N186:Q186"/>
    <mergeCell ref="R186:U186"/>
    <mergeCell ref="V186:Y186"/>
    <mergeCell ref="Z186:AC186"/>
    <mergeCell ref="AD186:AK186"/>
    <mergeCell ref="AL186:AW186"/>
    <mergeCell ref="CA187:CB188"/>
    <mergeCell ref="CC187:CD188"/>
    <mergeCell ref="CE187:CJ188"/>
    <mergeCell ref="CK187:CN188"/>
    <mergeCell ref="CP187:CU188"/>
    <mergeCell ref="CV187:CY188"/>
    <mergeCell ref="AX188:BA188"/>
    <mergeCell ref="BB188:BE188"/>
    <mergeCell ref="AX187:BA187"/>
    <mergeCell ref="BB187:BE187"/>
    <mergeCell ref="BF187:BI187"/>
    <mergeCell ref="BJ187:BM187"/>
    <mergeCell ref="BN187:BU187"/>
    <mergeCell ref="BV187:BX188"/>
    <mergeCell ref="BY187:BZ188"/>
    <mergeCell ref="BN188:BU188"/>
    <mergeCell ref="CK189:CN190"/>
    <mergeCell ref="CP189:CU190"/>
    <mergeCell ref="CV189:CY190"/>
    <mergeCell ref="BF188:BI188"/>
    <mergeCell ref="BJ188:BM188"/>
    <mergeCell ref="BV189:BX190"/>
    <mergeCell ref="BY189:BZ190"/>
    <mergeCell ref="CA189:CB190"/>
    <mergeCell ref="CC189:CD190"/>
    <mergeCell ref="CE189:CJ190"/>
    <mergeCell ref="AX189:BA189"/>
    <mergeCell ref="BB189:BE189"/>
    <mergeCell ref="BF189:BI189"/>
    <mergeCell ref="BJ189:BM189"/>
    <mergeCell ref="BN189:BU189"/>
    <mergeCell ref="B189:M189"/>
    <mergeCell ref="N189:Q189"/>
    <mergeCell ref="R189:U189"/>
    <mergeCell ref="V189:Y189"/>
    <mergeCell ref="Z189:AC189"/>
    <mergeCell ref="AD189:AK189"/>
    <mergeCell ref="AL189:AW189"/>
    <mergeCell ref="CO2:CP2"/>
    <mergeCell ref="CQ2:DJ2"/>
    <mergeCell ref="AJ3:AS4"/>
    <mergeCell ref="AT3:AW4"/>
    <mergeCell ref="AX3:BA4"/>
    <mergeCell ref="BB3:BE4"/>
    <mergeCell ref="BF3:BI4"/>
    <mergeCell ref="BJ3:BM4"/>
    <mergeCell ref="BS2:BT2"/>
    <mergeCell ref="BS3:BT4"/>
    <mergeCell ref="BU3:BZ4"/>
    <mergeCell ref="CA3:CN4"/>
    <mergeCell ref="CO3:CP4"/>
    <mergeCell ref="CQ3:CV4"/>
    <mergeCell ref="CW3:DJ4"/>
    <mergeCell ref="B4:H4"/>
    <mergeCell ref="I4:M4"/>
    <mergeCell ref="Y2:AI2"/>
    <mergeCell ref="Y3:AD4"/>
    <mergeCell ref="AE3:AI4"/>
    <mergeCell ref="B5:H5"/>
    <mergeCell ref="I5:M5"/>
    <mergeCell ref="Y5:AA6"/>
    <mergeCell ref="AB5:AD6"/>
    <mergeCell ref="BN3:BQ4"/>
    <mergeCell ref="BS5:BT6"/>
    <mergeCell ref="BU5:BZ5"/>
    <mergeCell ref="CA5:CN6"/>
    <mergeCell ref="CO5:CP6"/>
    <mergeCell ref="CQ5:CV5"/>
    <mergeCell ref="CW5:DJ6"/>
    <mergeCell ref="CQ6:CV6"/>
    <mergeCell ref="B6:F6"/>
    <mergeCell ref="G6:J6"/>
    <mergeCell ref="K6:M6"/>
    <mergeCell ref="AJ6:AN6"/>
    <mergeCell ref="AO6:AQ6"/>
    <mergeCell ref="AR6:AT6"/>
    <mergeCell ref="AU6:AY6"/>
    <mergeCell ref="AZ6:BC6"/>
    <mergeCell ref="BD6:BK6"/>
    <mergeCell ref="BL6:BQ6"/>
    <mergeCell ref="B3:M3"/>
    <mergeCell ref="B7:F7"/>
    <mergeCell ref="G7:J7"/>
    <mergeCell ref="K7:M7"/>
    <mergeCell ref="Y7:AA8"/>
    <mergeCell ref="AB7:AD8"/>
    <mergeCell ref="AJ7:AN7"/>
    <mergeCell ref="AO7:AQ7"/>
    <mergeCell ref="AR7:AT7"/>
    <mergeCell ref="AU7:AY7"/>
    <mergeCell ref="BD8:BG8"/>
    <mergeCell ref="BH8:BK8"/>
    <mergeCell ref="BL8:BM8"/>
    <mergeCell ref="BN8:BQ8"/>
    <mergeCell ref="AZ7:BC7"/>
    <mergeCell ref="BD7:BG7"/>
    <mergeCell ref="BH7:BK7"/>
    <mergeCell ref="BL7:BM7"/>
    <mergeCell ref="BN7:BQ7"/>
    <mergeCell ref="BS7:BT8"/>
    <mergeCell ref="BU7:BZ7"/>
    <mergeCell ref="CA7:CN8"/>
    <mergeCell ref="CO7:CP8"/>
    <mergeCell ref="CQ7:CV7"/>
    <mergeCell ref="CW7:DJ8"/>
    <mergeCell ref="CQ8:CV8"/>
    <mergeCell ref="B8:M8"/>
    <mergeCell ref="AJ8:AN8"/>
    <mergeCell ref="AO8:AQ8"/>
    <mergeCell ref="AR8:AT8"/>
    <mergeCell ref="AU8:AY8"/>
    <mergeCell ref="AZ8:BC8"/>
    <mergeCell ref="R17:S17"/>
    <mergeCell ref="T17:U17"/>
    <mergeCell ref="R18:S18"/>
    <mergeCell ref="T18:U18"/>
    <mergeCell ref="V18:W18"/>
    <mergeCell ref="V17:W17"/>
    <mergeCell ref="X17:Z17"/>
    <mergeCell ref="X18:Z18"/>
    <mergeCell ref="AA18:AC18"/>
    <mergeCell ref="AD18:AF18"/>
    <mergeCell ref="AH18:AN18"/>
    <mergeCell ref="AO18:AP18"/>
    <mergeCell ref="BU22:BZ22"/>
    <mergeCell ref="BU26:BZ26"/>
    <mergeCell ref="BV30:BW30"/>
    <mergeCell ref="BX30:BY30"/>
    <mergeCell ref="BZ30:CA30"/>
    <mergeCell ref="CB30:CC30"/>
    <mergeCell ref="CD30:CE30"/>
    <mergeCell ref="BV31:BW31"/>
    <mergeCell ref="BX31:BY31"/>
    <mergeCell ref="BV32:BW32"/>
    <mergeCell ref="BX32:BY32"/>
    <mergeCell ref="BV33:BW33"/>
    <mergeCell ref="BX33:BY33"/>
    <mergeCell ref="BZ31:CA31"/>
    <mergeCell ref="CB31:CC31"/>
    <mergeCell ref="BZ32:CA32"/>
    <mergeCell ref="CB32:CC32"/>
    <mergeCell ref="BZ33:CA33"/>
    <mergeCell ref="CB33:CC33"/>
    <mergeCell ref="CD31:CE31"/>
    <mergeCell ref="CF31:CG31"/>
    <mergeCell ref="CD32:CE32"/>
    <mergeCell ref="CF32:CG32"/>
    <mergeCell ref="CH32:CI32"/>
    <mergeCell ref="CD33:CE33"/>
    <mergeCell ref="CF33:CG33"/>
    <mergeCell ref="CH33:CI33"/>
    <mergeCell ref="BU23:BZ23"/>
    <mergeCell ref="BU24:BZ24"/>
    <mergeCell ref="BU25:BZ25"/>
    <mergeCell ref="BI28:CI28"/>
    <mergeCell ref="BV29:CI29"/>
    <mergeCell ref="BI31:BL31"/>
    <mergeCell ref="BM31:BO31"/>
    <mergeCell ref="CH31:CI31"/>
    <mergeCell ref="BZ34:CA34"/>
    <mergeCell ref="CB34:CC34"/>
    <mergeCell ref="CD34:CE34"/>
    <mergeCell ref="CF34:CG34"/>
    <mergeCell ref="CH34:CI34"/>
    <mergeCell ref="BI35:BL35"/>
    <mergeCell ref="BM35:BO35"/>
    <mergeCell ref="BP35:BR35"/>
    <mergeCell ref="BS35:BU35"/>
    <mergeCell ref="S45:T45"/>
    <mergeCell ref="U45:AD45"/>
    <mergeCell ref="BI47:CA47"/>
    <mergeCell ref="CB47:DJ47"/>
    <mergeCell ref="C45:F45"/>
    <mergeCell ref="G45:H45"/>
    <mergeCell ref="I45:J45"/>
    <mergeCell ref="K45:L45"/>
    <mergeCell ref="M45:N45"/>
    <mergeCell ref="O45:P45"/>
    <mergeCell ref="Q45:R45"/>
    <mergeCell ref="G39:H39"/>
    <mergeCell ref="I39:J39"/>
    <mergeCell ref="K39:L39"/>
    <mergeCell ref="M39:N39"/>
    <mergeCell ref="O39:P39"/>
    <mergeCell ref="Q39:R39"/>
    <mergeCell ref="B38:B47"/>
    <mergeCell ref="C40:C43"/>
    <mergeCell ref="G40:H40"/>
    <mergeCell ref="I40:J40"/>
    <mergeCell ref="K40:L40"/>
    <mergeCell ref="M40:N40"/>
    <mergeCell ref="C46:F46"/>
    <mergeCell ref="C47:F47"/>
    <mergeCell ref="C38:F38"/>
    <mergeCell ref="C39:F39"/>
    <mergeCell ref="D40:F40"/>
    <mergeCell ref="D41:F41"/>
    <mergeCell ref="D42:F42"/>
    <mergeCell ref="D43:F43"/>
    <mergeCell ref="C44:F44"/>
    <mergeCell ref="Q53:R53"/>
    <mergeCell ref="S53:T53"/>
    <mergeCell ref="AI53:AL53"/>
    <mergeCell ref="AM53:AP53"/>
    <mergeCell ref="AQ53:AT53"/>
    <mergeCell ref="AU53:AW53"/>
    <mergeCell ref="AX53:AZ53"/>
    <mergeCell ref="S51:T51"/>
    <mergeCell ref="U51:AD51"/>
    <mergeCell ref="O52:P52"/>
    <mergeCell ref="Q52:R52"/>
    <mergeCell ref="S52:T52"/>
    <mergeCell ref="U52:AD52"/>
    <mergeCell ref="U53:AD53"/>
    <mergeCell ref="BA53:BC53"/>
    <mergeCell ref="BD53:BF53"/>
    <mergeCell ref="AU55:AW55"/>
    <mergeCell ref="AX55:AZ55"/>
    <mergeCell ref="AI54:AT54"/>
    <mergeCell ref="AU54:AW54"/>
    <mergeCell ref="AX54:AZ54"/>
    <mergeCell ref="BA54:BC54"/>
    <mergeCell ref="BD54:BF54"/>
    <mergeCell ref="AI55:AN55"/>
    <mergeCell ref="AO55:AT55"/>
    <mergeCell ref="AJ58:AK58"/>
    <mergeCell ref="AL58:AM58"/>
    <mergeCell ref="BB58:BC58"/>
    <mergeCell ref="BD58:BE58"/>
    <mergeCell ref="AN58:AO58"/>
    <mergeCell ref="AP58:AQ58"/>
    <mergeCell ref="AR58:AS58"/>
    <mergeCell ref="AT58:AU58"/>
    <mergeCell ref="AV58:AW58"/>
    <mergeCell ref="AX58:AY58"/>
    <mergeCell ref="AZ58:BA58"/>
    <mergeCell ref="V84:AB85"/>
    <mergeCell ref="AC84:AI85"/>
    <mergeCell ref="H86:N87"/>
    <mergeCell ref="O86:U87"/>
    <mergeCell ref="V86:AB87"/>
    <mergeCell ref="AC86:AI87"/>
    <mergeCell ref="H88:N89"/>
    <mergeCell ref="O88:U89"/>
    <mergeCell ref="V88:AB89"/>
    <mergeCell ref="AC88:AI89"/>
    <mergeCell ref="H90:N91"/>
    <mergeCell ref="O90:U91"/>
    <mergeCell ref="V90:AB91"/>
    <mergeCell ref="AC90:AI91"/>
    <mergeCell ref="H92:N93"/>
    <mergeCell ref="O92:U93"/>
    <mergeCell ref="AT80:AY81"/>
    <mergeCell ref="AT84:AY107"/>
    <mergeCell ref="AZ94:BF95"/>
    <mergeCell ref="AZ96:BF97"/>
    <mergeCell ref="AZ98:BF99"/>
    <mergeCell ref="AZ100:BF101"/>
    <mergeCell ref="AZ102:BF103"/>
    <mergeCell ref="AZ104:BF105"/>
    <mergeCell ref="AU51:AW51"/>
    <mergeCell ref="AX51:AZ51"/>
    <mergeCell ref="AQ78:AS107"/>
    <mergeCell ref="AZ80:BF81"/>
    <mergeCell ref="AZ84:BF85"/>
    <mergeCell ref="AZ86:BF87"/>
    <mergeCell ref="AZ88:BF89"/>
    <mergeCell ref="AZ106:BF107"/>
    <mergeCell ref="AI52:AT52"/>
    <mergeCell ref="AU52:AW52"/>
    <mergeCell ref="AX52:AZ52"/>
    <mergeCell ref="BA52:BC52"/>
    <mergeCell ref="BD52:BF52"/>
    <mergeCell ref="AI49:AT49"/>
    <mergeCell ref="AU49:AW49"/>
    <mergeCell ref="AX49:AZ49"/>
    <mergeCell ref="AI50:AT50"/>
    <mergeCell ref="AU50:AW50"/>
    <mergeCell ref="AX50:AZ50"/>
    <mergeCell ref="AI51:AT51"/>
    <mergeCell ref="AT82:AY83"/>
    <mergeCell ref="AZ82:BF83"/>
    <mergeCell ref="AJ84:AP85"/>
    <mergeCell ref="AJ86:AP87"/>
    <mergeCell ref="AJ82:AP83"/>
    <mergeCell ref="AJ88:AP89"/>
    <mergeCell ref="AZ90:BF91"/>
    <mergeCell ref="AZ92:BF93"/>
    <mergeCell ref="AJ102:AP103"/>
    <mergeCell ref="AJ104:AP105"/>
    <mergeCell ref="AJ106:AP107"/>
    <mergeCell ref="AJ80:AP81"/>
    <mergeCell ref="AJ90:AP91"/>
    <mergeCell ref="AJ92:AP93"/>
    <mergeCell ref="AJ94:AP95"/>
    <mergeCell ref="AJ96:AP97"/>
    <mergeCell ref="AJ98:AP99"/>
    <mergeCell ref="AJ100:AP101"/>
    <mergeCell ref="V92:AB93"/>
    <mergeCell ref="AC92:AI93"/>
    <mergeCell ref="H94:N95"/>
    <mergeCell ref="O94:U95"/>
    <mergeCell ref="V94:AB95"/>
    <mergeCell ref="AC94:AI95"/>
    <mergeCell ref="H96:N97"/>
    <mergeCell ref="O96:U97"/>
    <mergeCell ref="V96:AB97"/>
    <mergeCell ref="AC96:AI97"/>
    <mergeCell ref="H98:N99"/>
    <mergeCell ref="O98:U99"/>
    <mergeCell ref="V98:AB99"/>
    <mergeCell ref="AC98:AI99"/>
    <mergeCell ref="O82:U83"/>
    <mergeCell ref="H84:N85"/>
    <mergeCell ref="O84:U85"/>
    <mergeCell ref="V106:AB107"/>
    <mergeCell ref="AC106:AI107"/>
    <mergeCell ref="O53:P53"/>
    <mergeCell ref="O80:U81"/>
    <mergeCell ref="V80:AB81"/>
    <mergeCell ref="AC80:AI81"/>
    <mergeCell ref="V82:AB83"/>
    <mergeCell ref="AC82:AI83"/>
    <mergeCell ref="B84:G107"/>
    <mergeCell ref="H100:N101"/>
    <mergeCell ref="O100:U101"/>
    <mergeCell ref="V100:AB101"/>
    <mergeCell ref="AC100:AI101"/>
    <mergeCell ref="H102:N103"/>
    <mergeCell ref="O102:U103"/>
    <mergeCell ref="V102:AB103"/>
    <mergeCell ref="AC102:AI103"/>
    <mergeCell ref="H104:N105"/>
    <mergeCell ref="O104:U105"/>
    <mergeCell ref="V104:AB105"/>
    <mergeCell ref="AC104:AI105"/>
    <mergeCell ref="H106:N107"/>
    <mergeCell ref="O106:U107"/>
    <mergeCell ref="FT63:FU63"/>
    <mergeCell ref="FV63:FW63"/>
    <mergeCell ref="FX63:FY63"/>
    <mergeCell ref="FZ63:GA63"/>
    <mergeCell ref="GB63:GC63"/>
    <mergeCell ref="GD63:GE63"/>
    <mergeCell ref="FT61:FU61"/>
    <mergeCell ref="FV61:FW61"/>
    <mergeCell ref="FX61:FY61"/>
    <mergeCell ref="FZ61:GA61"/>
    <mergeCell ref="GB61:GC61"/>
    <mergeCell ref="GD61:GE61"/>
    <mergeCell ref="GF61:GG63"/>
    <mergeCell ref="FJ62:FK62"/>
    <mergeCell ref="FL62:FM62"/>
    <mergeCell ref="FN62:FO62"/>
    <mergeCell ref="FP62:FQ62"/>
    <mergeCell ref="FT62:FU62"/>
    <mergeCell ref="FV62:FW62"/>
    <mergeCell ref="FX62:FY62"/>
    <mergeCell ref="FZ62:GA62"/>
    <mergeCell ref="GB62:GC62"/>
    <mergeCell ref="GD62:GE62"/>
    <mergeCell ref="FF63:FI63"/>
    <mergeCell ref="FJ63:FM63"/>
    <mergeCell ref="FF61:FG62"/>
    <mergeCell ref="FH61:FI62"/>
    <mergeCell ref="FJ61:FK61"/>
    <mergeCell ref="FL61:FM61"/>
    <mergeCell ref="FN61:FO61"/>
    <mergeCell ref="FP61:FQ61"/>
    <mergeCell ref="FR61:FS63"/>
    <mergeCell ref="FN63:FQ63"/>
    <mergeCell ref="BN51:BP51"/>
    <mergeCell ref="BQ51:BS51"/>
    <mergeCell ref="BG52:BH52"/>
    <mergeCell ref="BI52:BJ52"/>
    <mergeCell ref="BK52:BM52"/>
    <mergeCell ref="BN52:BP52"/>
    <mergeCell ref="BQ52:BR52"/>
    <mergeCell ref="BS52:BW52"/>
    <mergeCell ref="CB50:CI51"/>
    <mergeCell ref="CB52:CI53"/>
    <mergeCell ref="CK52:CR53"/>
    <mergeCell ref="CT52:DA53"/>
    <mergeCell ref="DC52:DJ53"/>
    <mergeCell ref="BG53:BH53"/>
    <mergeCell ref="BI53:BJ53"/>
    <mergeCell ref="BK53:BP53"/>
    <mergeCell ref="BQ53:BW53"/>
    <mergeCell ref="BT50:BW51"/>
    <mergeCell ref="BX50:CA51"/>
    <mergeCell ref="BG48:BH48"/>
    <mergeCell ref="BG54:BH54"/>
    <mergeCell ref="BG55:BH55"/>
    <mergeCell ref="BI54:BI55"/>
    <mergeCell ref="BJ54:BM55"/>
    <mergeCell ref="BN54:BO55"/>
    <mergeCell ref="BP54:BQ55"/>
    <mergeCell ref="BR54:BT55"/>
    <mergeCell ref="BU54:BV55"/>
    <mergeCell ref="BI48:BJ48"/>
    <mergeCell ref="BN48:BP48"/>
    <mergeCell ref="BQ48:BR48"/>
    <mergeCell ref="BS48:BW48"/>
    <mergeCell ref="CJ48:CJ55"/>
    <mergeCell ref="BX52:CA52"/>
    <mergeCell ref="BX53:CA53"/>
    <mergeCell ref="CB54:CI55"/>
    <mergeCell ref="BW54:BY55"/>
    <mergeCell ref="BZ54:CA55"/>
    <mergeCell ref="CK54:CR55"/>
    <mergeCell ref="CT54:DA55"/>
    <mergeCell ref="DC54:DJ55"/>
    <mergeCell ref="CO57:DJ57"/>
    <mergeCell ref="DL57:DO57"/>
    <mergeCell ref="BZ62:CC62"/>
    <mergeCell ref="CD62:CF62"/>
    <mergeCell ref="BL63:BO63"/>
    <mergeCell ref="BP63:BR63"/>
    <mergeCell ref="BL59:BO59"/>
    <mergeCell ref="BH62:BI63"/>
    <mergeCell ref="BJ62:BK63"/>
    <mergeCell ref="BL62:BO62"/>
    <mergeCell ref="BP62:BR62"/>
    <mergeCell ref="BS62:BV62"/>
    <mergeCell ref="BW62:BY62"/>
    <mergeCell ref="CT63:CX63"/>
    <mergeCell ref="CY63:DC63"/>
    <mergeCell ref="CO64:CS64"/>
    <mergeCell ref="CT64:CV64"/>
    <mergeCell ref="CW64:CX64"/>
    <mergeCell ref="CY64:DA64"/>
    <mergeCell ref="DB64:DC64"/>
    <mergeCell ref="BS63:BV63"/>
    <mergeCell ref="BW63:BY63"/>
    <mergeCell ref="BZ63:CC63"/>
    <mergeCell ref="CD63:CF63"/>
    <mergeCell ref="CG63:CJ63"/>
    <mergeCell ref="CK63:CM63"/>
    <mergeCell ref="CO63:CS63"/>
    <mergeCell ref="DV61:DX61"/>
    <mergeCell ref="DV62:DX62"/>
    <mergeCell ref="DV63:DY63"/>
    <mergeCell ref="DZ63:EC63"/>
    <mergeCell ref="ED63:EG63"/>
    <mergeCell ref="EH63:EK63"/>
    <mergeCell ref="EL63:EO63"/>
    <mergeCell ref="DH62:DJ62"/>
    <mergeCell ref="DD63:DJ63"/>
    <mergeCell ref="DL63:DN63"/>
    <mergeCell ref="DO63:DQ63"/>
    <mergeCell ref="DS63:DU63"/>
    <mergeCell ref="DD64:DJ64"/>
    <mergeCell ref="DE58:DF59"/>
    <mergeCell ref="DG58:DJ59"/>
    <mergeCell ref="DL58:DO59"/>
    <mergeCell ref="DL61:DO62"/>
    <mergeCell ref="DP61:DU62"/>
    <mergeCell ref="DY61:DZ61"/>
    <mergeCell ref="DY62:DZ62"/>
    <mergeCell ref="ER62:ES62"/>
    <mergeCell ref="ET62:EU62"/>
    <mergeCell ref="EP63:ES63"/>
    <mergeCell ref="ET63:EW63"/>
    <mergeCell ref="EX63:FA63"/>
    <mergeCell ref="FB63:FE63"/>
    <mergeCell ref="ER61:ES61"/>
    <mergeCell ref="ET61:EU61"/>
    <mergeCell ref="EV61:EW61"/>
    <mergeCell ref="EX61:EY62"/>
    <mergeCell ref="EZ61:FA62"/>
    <mergeCell ref="FB61:FC62"/>
    <mergeCell ref="FD61:FE62"/>
    <mergeCell ref="EV62:EW62"/>
    <mergeCell ref="GJ61:GK61"/>
    <mergeCell ref="GL61:GM61"/>
    <mergeCell ref="GN61:GO61"/>
    <mergeCell ref="GP61:GQ61"/>
    <mergeCell ref="GR61:GS61"/>
    <mergeCell ref="GT61:GU61"/>
    <mergeCell ref="GV61:GW61"/>
    <mergeCell ref="GH63:GI63"/>
    <mergeCell ref="GJ63:GK63"/>
    <mergeCell ref="GL63:GM63"/>
    <mergeCell ref="GN63:GO63"/>
    <mergeCell ref="GP63:GQ63"/>
    <mergeCell ref="GR63:GS63"/>
    <mergeCell ref="GT63:GU63"/>
    <mergeCell ref="GV63:GW63"/>
    <mergeCell ref="GH61:GI61"/>
    <mergeCell ref="GH62:GI62"/>
    <mergeCell ref="GJ62:GK62"/>
    <mergeCell ref="GL62:GM62"/>
    <mergeCell ref="GN62:GO62"/>
    <mergeCell ref="GP62:GQ62"/>
    <mergeCell ref="GR62:GS62"/>
    <mergeCell ref="CO58:CR59"/>
    <mergeCell ref="CS58:CT59"/>
    <mergeCell ref="CU58:CV59"/>
    <mergeCell ref="CW58:CX59"/>
    <mergeCell ref="CY58:CZ59"/>
    <mergeCell ref="DA58:DB59"/>
    <mergeCell ref="DC58:DD59"/>
    <mergeCell ref="BP59:BR59"/>
    <mergeCell ref="BS59:BV59"/>
    <mergeCell ref="BW59:BY59"/>
    <mergeCell ref="BZ59:CC59"/>
    <mergeCell ref="CD59:CF59"/>
    <mergeCell ref="CG59:CJ59"/>
    <mergeCell ref="CK59:CM59"/>
    <mergeCell ref="DC62:DE62"/>
    <mergeCell ref="DF62:DG62"/>
    <mergeCell ref="CO60:DJ60"/>
    <mergeCell ref="DA61:DJ61"/>
    <mergeCell ref="CG62:CJ62"/>
    <mergeCell ref="CK62:CM62"/>
    <mergeCell ref="CO62:CT62"/>
    <mergeCell ref="CU62:CZ62"/>
    <mergeCell ref="DA62:DB62"/>
    <mergeCell ref="EA62:EC62"/>
    <mergeCell ref="ED62:EE62"/>
    <mergeCell ref="EF62:EG62"/>
    <mergeCell ref="EI62:EJ62"/>
    <mergeCell ref="EL62:EM62"/>
    <mergeCell ref="EN62:EO62"/>
    <mergeCell ref="EP62:EQ62"/>
    <mergeCell ref="EA61:EC61"/>
    <mergeCell ref="ED61:EE61"/>
    <mergeCell ref="EF61:EG61"/>
    <mergeCell ref="EH61:EK61"/>
    <mergeCell ref="EL61:EM61"/>
    <mergeCell ref="EN61:EO61"/>
    <mergeCell ref="EP61:EQ61"/>
    <mergeCell ref="GT62:GU62"/>
    <mergeCell ref="GV62:GW62"/>
    <mergeCell ref="S47:T47"/>
    <mergeCell ref="U47:AD47"/>
    <mergeCell ref="Q48:R48"/>
    <mergeCell ref="S48:T48"/>
    <mergeCell ref="AF46:AH47"/>
    <mergeCell ref="AF48:AH50"/>
    <mergeCell ref="Q49:R49"/>
    <mergeCell ref="S49:T49"/>
    <mergeCell ref="O54:P54"/>
    <mergeCell ref="Q54:R54"/>
    <mergeCell ref="S54:T54"/>
    <mergeCell ref="O55:P55"/>
    <mergeCell ref="Q55:R55"/>
    <mergeCell ref="Q42:R42"/>
    <mergeCell ref="Q50:R50"/>
    <mergeCell ref="S50:T50"/>
    <mergeCell ref="U50:AD50"/>
    <mergeCell ref="AF51:AH52"/>
    <mergeCell ref="AF53:AH53"/>
    <mergeCell ref="C49:F49"/>
    <mergeCell ref="G49:H49"/>
    <mergeCell ref="C50:C52"/>
    <mergeCell ref="D50:F50"/>
    <mergeCell ref="D51:F51"/>
    <mergeCell ref="D52:F52"/>
    <mergeCell ref="G50:H50"/>
    <mergeCell ref="G51:H51"/>
    <mergeCell ref="I52:J52"/>
    <mergeCell ref="K52:L52"/>
    <mergeCell ref="M52:N52"/>
    <mergeCell ref="G52:H52"/>
    <mergeCell ref="C53:F53"/>
    <mergeCell ref="G53:H53"/>
    <mergeCell ref="I53:J53"/>
    <mergeCell ref="K53:L53"/>
    <mergeCell ref="M53:N53"/>
    <mergeCell ref="C54:F54"/>
    <mergeCell ref="G54:H54"/>
    <mergeCell ref="I54:J54"/>
    <mergeCell ref="K54:L54"/>
    <mergeCell ref="M54:N54"/>
    <mergeCell ref="C55:F55"/>
    <mergeCell ref="G55:H55"/>
    <mergeCell ref="I55:J55"/>
    <mergeCell ref="K55:L55"/>
    <mergeCell ref="M55:N55"/>
    <mergeCell ref="G38:H38"/>
    <mergeCell ref="G42:H42"/>
    <mergeCell ref="G43:H43"/>
    <mergeCell ref="G44:H44"/>
    <mergeCell ref="G46:H46"/>
    <mergeCell ref="G47:H47"/>
    <mergeCell ref="B48:B55"/>
    <mergeCell ref="K41:L41"/>
    <mergeCell ref="M41:N41"/>
    <mergeCell ref="O41:P41"/>
    <mergeCell ref="Q41:R41"/>
    <mergeCell ref="AU41:AW41"/>
    <mergeCell ref="AX41:AZ41"/>
    <mergeCell ref="BA41:BC41"/>
    <mergeCell ref="BD41:BF41"/>
    <mergeCell ref="BG41:BH41"/>
    <mergeCell ref="S39:T39"/>
    <mergeCell ref="U39:AD39"/>
    <mergeCell ref="O40:P40"/>
    <mergeCell ref="Q40:R40"/>
    <mergeCell ref="S40:T40"/>
    <mergeCell ref="U40:AD40"/>
    <mergeCell ref="AI40:AL40"/>
    <mergeCell ref="AM40:AP40"/>
    <mergeCell ref="AQ40:AT40"/>
    <mergeCell ref="AU40:AW40"/>
    <mergeCell ref="AX40:AZ40"/>
    <mergeCell ref="G41:H41"/>
    <mergeCell ref="I41:J41"/>
    <mergeCell ref="BI41:BL42"/>
    <mergeCell ref="BM41:BO42"/>
    <mergeCell ref="BP41:BQ42"/>
    <mergeCell ref="BR41:BU41"/>
    <mergeCell ref="BR42:BS42"/>
    <mergeCell ref="BT42:BU42"/>
    <mergeCell ref="BA40:BC40"/>
    <mergeCell ref="BD40:BF40"/>
    <mergeCell ref="BG40:BH40"/>
    <mergeCell ref="BI40:BL40"/>
    <mergeCell ref="BM40:BO40"/>
    <mergeCell ref="BP40:BR40"/>
    <mergeCell ref="BS40:BU40"/>
    <mergeCell ref="BA42:BC42"/>
    <mergeCell ref="BD42:BF42"/>
    <mergeCell ref="BG42:BH42"/>
    <mergeCell ref="AI41:AT41"/>
    <mergeCell ref="AI42:AK42"/>
    <mergeCell ref="AL42:AN42"/>
    <mergeCell ref="AO42:AQ42"/>
    <mergeCell ref="AR42:AT42"/>
    <mergeCell ref="AU42:AW42"/>
    <mergeCell ref="AX42:AZ42"/>
    <mergeCell ref="S41:T41"/>
    <mergeCell ref="U41:AD41"/>
    <mergeCell ref="BA43:BC43"/>
    <mergeCell ref="BD43:BF43"/>
    <mergeCell ref="BG43:BH43"/>
    <mergeCell ref="BI43:BL43"/>
    <mergeCell ref="BM43:BO43"/>
    <mergeCell ref="BP43:BQ43"/>
    <mergeCell ref="BR43:BS43"/>
    <mergeCell ref="BT43:BU43"/>
    <mergeCell ref="S43:T43"/>
    <mergeCell ref="U43:AD43"/>
    <mergeCell ref="AI43:AL43"/>
    <mergeCell ref="AM43:AP43"/>
    <mergeCell ref="AQ43:AT43"/>
    <mergeCell ref="AU43:AW43"/>
    <mergeCell ref="AX43:AZ43"/>
    <mergeCell ref="K38:L38"/>
    <mergeCell ref="K44:L44"/>
    <mergeCell ref="M44:N44"/>
    <mergeCell ref="O44:P44"/>
    <mergeCell ref="Q44:R44"/>
    <mergeCell ref="S44:T44"/>
    <mergeCell ref="AE36:AE44"/>
    <mergeCell ref="AF37:AH38"/>
    <mergeCell ref="U38:AD38"/>
    <mergeCell ref="AF39:AH40"/>
    <mergeCell ref="AF41:AH42"/>
    <mergeCell ref="U42:AD42"/>
    <mergeCell ref="U44:AD44"/>
    <mergeCell ref="BD44:BF44"/>
    <mergeCell ref="BG44:BH44"/>
    <mergeCell ref="BI44:BL44"/>
    <mergeCell ref="BM44:BO44"/>
    <mergeCell ref="BP44:BQ44"/>
    <mergeCell ref="BR44:BS44"/>
    <mergeCell ref="BT44:BU44"/>
    <mergeCell ref="AF43:AH43"/>
    <mergeCell ref="AF44:AH44"/>
    <mergeCell ref="AI44:AN44"/>
    <mergeCell ref="AO44:AT44"/>
    <mergeCell ref="AU44:AW44"/>
    <mergeCell ref="AX44:AZ44"/>
    <mergeCell ref="BA44:BC44"/>
    <mergeCell ref="U54:AD54"/>
    <mergeCell ref="AF54:AH55"/>
    <mergeCell ref="U55:AD55"/>
    <mergeCell ref="S42:T42"/>
    <mergeCell ref="AE45:AE55"/>
    <mergeCell ref="AF45:AH45"/>
    <mergeCell ref="S46:T46"/>
    <mergeCell ref="U46:AD46"/>
    <mergeCell ref="U48:AD48"/>
    <mergeCell ref="U49:AD49"/>
    <mergeCell ref="S55:T55"/>
    <mergeCell ref="BJ68:BK69"/>
    <mergeCell ref="BL68:BO68"/>
    <mergeCell ref="BL69:BO69"/>
    <mergeCell ref="AV68:AW69"/>
    <mergeCell ref="AX68:AY69"/>
    <mergeCell ref="AZ68:BA69"/>
    <mergeCell ref="BB68:BC69"/>
    <mergeCell ref="BD68:BE69"/>
    <mergeCell ref="BF68:BG69"/>
    <mergeCell ref="BH68:BI69"/>
    <mergeCell ref="B68:E69"/>
    <mergeCell ref="B70:E70"/>
    <mergeCell ref="B71:E72"/>
    <mergeCell ref="B58:E58"/>
    <mergeCell ref="B59:E60"/>
    <mergeCell ref="B61:E61"/>
    <mergeCell ref="B62:E63"/>
    <mergeCell ref="B64:E64"/>
    <mergeCell ref="B65:E66"/>
    <mergeCell ref="B67:E67"/>
    <mergeCell ref="AN70:AO70"/>
    <mergeCell ref="AP70:AQ70"/>
    <mergeCell ref="AR70:AS70"/>
    <mergeCell ref="AT70:AU70"/>
    <mergeCell ref="AV70:AW70"/>
    <mergeCell ref="AX70:AY70"/>
    <mergeCell ref="AZ70:BA70"/>
    <mergeCell ref="BS70:BV70"/>
    <mergeCell ref="BW70:BY70"/>
    <mergeCell ref="BS71:BV71"/>
    <mergeCell ref="BW71:BY71"/>
    <mergeCell ref="BS72:BV72"/>
    <mergeCell ref="BW72:BY72"/>
    <mergeCell ref="BB70:BC70"/>
    <mergeCell ref="BD70:BE70"/>
    <mergeCell ref="BF70:BG70"/>
    <mergeCell ref="BH70:BI70"/>
    <mergeCell ref="BJ70:BK70"/>
    <mergeCell ref="BL70:BO70"/>
    <mergeCell ref="BP70:BR70"/>
    <mergeCell ref="F70:T70"/>
    <mergeCell ref="U70:X70"/>
    <mergeCell ref="Y70:AB70"/>
    <mergeCell ref="AC70:AF70"/>
    <mergeCell ref="AG70:AI70"/>
    <mergeCell ref="AJ70:AK70"/>
    <mergeCell ref="AL70:AM70"/>
    <mergeCell ref="F71:AI72"/>
    <mergeCell ref="AJ71:AK72"/>
    <mergeCell ref="AL71:AM72"/>
    <mergeCell ref="AN71:AO72"/>
    <mergeCell ref="AP71:AQ72"/>
    <mergeCell ref="AR71:AS72"/>
    <mergeCell ref="AT71:AU72"/>
    <mergeCell ref="BJ71:BK72"/>
    <mergeCell ref="BL71:BO71"/>
    <mergeCell ref="BP71:BR71"/>
    <mergeCell ref="BL72:BO72"/>
    <mergeCell ref="BP72:BR72"/>
    <mergeCell ref="AV71:AW72"/>
    <mergeCell ref="AX71:AY72"/>
    <mergeCell ref="AZ71:BA72"/>
    <mergeCell ref="BB71:BC72"/>
    <mergeCell ref="BD71:BE72"/>
    <mergeCell ref="BF71:BG72"/>
    <mergeCell ref="BH71:BI72"/>
    <mergeCell ref="BJ65:BK66"/>
    <mergeCell ref="BL65:BO65"/>
    <mergeCell ref="AV65:AW66"/>
    <mergeCell ref="AX65:AY66"/>
    <mergeCell ref="AZ65:BA66"/>
    <mergeCell ref="BB65:BC66"/>
    <mergeCell ref="BD65:BE66"/>
    <mergeCell ref="BF65:BG66"/>
    <mergeCell ref="BH65:BI66"/>
    <mergeCell ref="AN67:AO67"/>
    <mergeCell ref="AP67:AQ67"/>
    <mergeCell ref="AR67:AS67"/>
    <mergeCell ref="AT67:AU67"/>
    <mergeCell ref="AV67:AW67"/>
    <mergeCell ref="AX67:AY67"/>
    <mergeCell ref="AZ67:BA67"/>
    <mergeCell ref="BS67:BV67"/>
    <mergeCell ref="BW67:BY67"/>
    <mergeCell ref="BP68:BR68"/>
    <mergeCell ref="BS68:BV68"/>
    <mergeCell ref="BW68:BY68"/>
    <mergeCell ref="BP69:BR69"/>
    <mergeCell ref="BS69:BV69"/>
    <mergeCell ref="BW69:BY69"/>
    <mergeCell ref="BB67:BC67"/>
    <mergeCell ref="BD67:BE67"/>
    <mergeCell ref="BF67:BG67"/>
    <mergeCell ref="BH67:BI67"/>
    <mergeCell ref="BJ67:BK67"/>
    <mergeCell ref="BL67:BO67"/>
    <mergeCell ref="BP67:BR67"/>
    <mergeCell ref="F67:T67"/>
    <mergeCell ref="U67:X67"/>
    <mergeCell ref="Y67:AB67"/>
    <mergeCell ref="AC67:AF67"/>
    <mergeCell ref="AG67:AI67"/>
    <mergeCell ref="AJ67:AK67"/>
    <mergeCell ref="AL67:AM67"/>
    <mergeCell ref="F68:AI69"/>
    <mergeCell ref="AJ68:AK69"/>
    <mergeCell ref="AL68:AM69"/>
    <mergeCell ref="AN68:AO69"/>
    <mergeCell ref="AP68:AQ69"/>
    <mergeCell ref="AR68:AS69"/>
    <mergeCell ref="AT68:AU69"/>
    <mergeCell ref="CP170:CU171"/>
    <mergeCell ref="CV170:CY171"/>
    <mergeCell ref="CZ170:DA170"/>
    <mergeCell ref="DB170:DC170"/>
    <mergeCell ref="DD170:DE170"/>
    <mergeCell ref="DF170:DG170"/>
    <mergeCell ref="DH170:DI170"/>
    <mergeCell ref="DH171:DI171"/>
    <mergeCell ref="CZ172:DA172"/>
    <mergeCell ref="CZ173:DA173"/>
    <mergeCell ref="CP172:CU173"/>
    <mergeCell ref="CP174:CU175"/>
    <mergeCell ref="CP176:CU177"/>
    <mergeCell ref="DD171:DE171"/>
    <mergeCell ref="DF171:DG171"/>
    <mergeCell ref="DD172:DE172"/>
    <mergeCell ref="DF172:DG172"/>
    <mergeCell ref="DH172:DI172"/>
    <mergeCell ref="DF173:DG173"/>
    <mergeCell ref="DH173:DI173"/>
    <mergeCell ref="DB174:DC174"/>
    <mergeCell ref="DB175:DC175"/>
    <mergeCell ref="DB176:DC176"/>
    <mergeCell ref="DB177:DC177"/>
    <mergeCell ref="DB178:DC178"/>
    <mergeCell ref="DB179:DC179"/>
    <mergeCell ref="DB180:DC180"/>
    <mergeCell ref="DB181:DC181"/>
    <mergeCell ref="CZ177:DA177"/>
    <mergeCell ref="CZ178:DA178"/>
    <mergeCell ref="CZ179:DA179"/>
    <mergeCell ref="CZ180:DA180"/>
    <mergeCell ref="CZ181:DA181"/>
    <mergeCell ref="BV181:BX182"/>
    <mergeCell ref="BY181:BZ182"/>
    <mergeCell ref="CA181:CB182"/>
    <mergeCell ref="CC181:CD182"/>
    <mergeCell ref="CE181:CJ182"/>
    <mergeCell ref="CK181:CN182"/>
    <mergeCell ref="CP181:CU182"/>
    <mergeCell ref="CV181:CY182"/>
    <mergeCell ref="BV179:BX180"/>
    <mergeCell ref="BY179:BZ180"/>
    <mergeCell ref="CA179:CB180"/>
    <mergeCell ref="CC179:CD180"/>
    <mergeCell ref="CE179:CJ180"/>
    <mergeCell ref="CK179:CN180"/>
    <mergeCell ref="CP179:CY180"/>
    <mergeCell ref="DD175:DE175"/>
    <mergeCell ref="DD176:DE176"/>
    <mergeCell ref="DF176:DG176"/>
    <mergeCell ref="DH176:DI176"/>
    <mergeCell ref="DD177:DE177"/>
    <mergeCell ref="DF177:DG177"/>
    <mergeCell ref="DD174:DE174"/>
    <mergeCell ref="DD178:DE178"/>
    <mergeCell ref="DF178:DG178"/>
    <mergeCell ref="DH178:DI178"/>
    <mergeCell ref="DD179:DE179"/>
    <mergeCell ref="DF179:DG179"/>
    <mergeCell ref="DD181:DE181"/>
    <mergeCell ref="DF181:DG181"/>
  </mergeCells>
  <conditionalFormatting sqref="AU36:AW45 AU47:AW54">
    <cfRule type="notContainsBlanks" dxfId="0" priority="1">
      <formula>LEN(TRIM(AU36))&gt;0</formula>
    </cfRule>
  </conditionalFormatting>
  <conditionalFormatting sqref="CO2:CP2">
    <cfRule type="cellIs" dxfId="1" priority="2" operator="lessThan">
      <formula>0</formula>
    </cfRule>
  </conditionalFormatting>
  <dataValidations>
    <dataValidation type="list" allowBlank="1" showErrorMessage="1" sqref="BP54 CU58 CY58 DC58 DG58 EH62 EK62 CK157 CV157">
      <formula1>"TRUE,FALSE"</formula1>
    </dataValidation>
    <dataValidation type="list" allowBlank="1" showErrorMessage="1" sqref="CE165">
      <formula1>"點數,XP"</formula1>
    </dataValidation>
    <dataValidation type="list" allowBlank="1" showErrorMessage="1" sqref="BM32">
      <formula1>"超微型,微型,小型,中型,大型,超大型,巨型,超巨型"</formula1>
    </dataValidation>
    <dataValidation type="list" allowBlank="1" sqref="CS155">
      <formula1>'空白卡'!$CZ$165:$DA191</formula1>
    </dataValidation>
    <dataValidation type="list" allowBlank="1" showInputMessage="1" prompt="請點擊並輸入一個範圍中的值" sqref="CQ5 CQ7 CQ9 CQ11 CQ13">
      <formula1>'天賦 3xx'!$B:$B</formula1>
    </dataValidation>
    <dataValidation type="list" allowBlank="1" sqref="CK179">
      <formula1>"-,D,DD,C,CC,B,BB,A,AA,S,SS"</formula1>
    </dataValidation>
    <dataValidation type="list" allowBlank="1" showErrorMessage="1" sqref="DD70">
      <formula1>"物理傷害,全傷害"</formula1>
    </dataValidation>
    <dataValidation type="list" allowBlank="1" showErrorMessage="1" sqref="BS5">
      <formula1>"0,1,2,3,4,5"</formula1>
    </dataValidation>
    <dataValidation type="list" allowBlank="1" sqref="CO5 CO7 CO9 CO11 CO13">
      <formula1>"0,1,2,3,4,5"</formula1>
    </dataValidation>
    <dataValidation type="list" allowBlank="1" sqref="CV174">
      <formula1>"普通,輪迴隊"</formula1>
    </dataValidation>
    <dataValidation type="list" allowBlank="1" showErrorMessage="1" sqref="BS7 BS9 BS11 BS13 BS15 BS17 BS19 BS21 BS23 BS25">
      <formula1>"0,1,2,3,4,5"</formula1>
    </dataValidation>
    <dataValidation type="list" allowBlank="1" showErrorMessage="1" sqref="DD64">
      <formula1>"無,無支線,D,C,B,A,S"</formula1>
    </dataValidation>
    <dataValidation type="list" allowBlank="1" showErrorMessage="1" sqref="BD7:BD14 BH7:BH14">
      <formula1>"力量,敏捷,耐力,智力,感知,決心,風度,操控,沉著"</formula1>
    </dataValidation>
    <dataValidation type="list" allowBlank="1" sqref="CV181">
      <formula1>"-,D,DD,C,CC,B,BB,A,AA,S,SS"</formula1>
    </dataValidation>
    <dataValidation type="list" allowBlank="1" sqref="I5">
      <formula1>"-,男,女,不明,男女皆有"</formula1>
    </dataValidation>
    <dataValidation type="list" allowBlank="1" showErrorMessage="1" sqref="BJ54">
      <formula1>"一階,二階,三階,四階,五階"</formula1>
    </dataValidation>
    <dataValidation type="list" allowBlank="1" sqref="CI170">
      <formula1>"-,500,D500,D1000,DD500,DD1000,C1000,C2000,CC1000,CC2000,B2000,B4000,BB2000,BB4000,A4000,A8000,AA4000,AA8000,S8000,S16000,SS8000,SS16000"</formula1>
    </dataValidation>
    <dataValidation type="list" allowBlank="1" sqref="BU5 BU7 BU9 BU11 BU13 BU15 BU17 BU19 BU21 BU23 BU25">
      <formula1>'缺陷 3xx'!$B:$B</formula1>
    </dataValidation>
    <dataValidation type="list" allowBlank="1" sqref="CH155">
      <formula1>'空白卡'!$CZ$155:$DA$163</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19.38"/>
    <col customWidth="1" min="3" max="3" width="13.38"/>
    <col customWidth="1" min="4" max="4" width="100.13"/>
  </cols>
  <sheetData>
    <row r="1">
      <c r="A1" s="2" t="s">
        <v>0</v>
      </c>
      <c r="B1" s="4" t="s">
        <v>2</v>
      </c>
      <c r="C1" s="4" t="s">
        <v>3</v>
      </c>
      <c r="D1" s="4" t="s">
        <v>4</v>
      </c>
    </row>
    <row r="2">
      <c r="A2" s="5">
        <v>0.0</v>
      </c>
      <c r="B2" s="6" t="s">
        <v>5</v>
      </c>
      <c r="C2" s="8" t="s">
        <v>6</v>
      </c>
      <c r="D2" s="9" t="s">
        <v>6</v>
      </c>
    </row>
    <row r="3">
      <c r="A3" s="5"/>
      <c r="B3" s="10" t="s">
        <v>8</v>
      </c>
      <c r="C3" s="8"/>
      <c r="D3" s="9" t="s">
        <v>6</v>
      </c>
    </row>
    <row r="4">
      <c r="A4" s="5">
        <v>1.0</v>
      </c>
      <c r="B4" s="12" t="s">
        <v>10</v>
      </c>
      <c r="C4" s="13" t="s">
        <v>6</v>
      </c>
      <c r="D4" s="15" t="s">
        <v>13</v>
      </c>
    </row>
    <row r="5">
      <c r="A5" s="5">
        <v>2.0</v>
      </c>
      <c r="B5" s="12" t="s">
        <v>17</v>
      </c>
      <c r="C5" s="13" t="s">
        <v>6</v>
      </c>
      <c r="D5" s="15" t="s">
        <v>19</v>
      </c>
    </row>
    <row r="6">
      <c r="A6" s="5">
        <v>3.0</v>
      </c>
      <c r="B6" s="12" t="s">
        <v>22</v>
      </c>
      <c r="C6" s="13" t="s">
        <v>6</v>
      </c>
      <c r="D6" s="15" t="s">
        <v>25</v>
      </c>
    </row>
    <row r="7">
      <c r="A7" s="5">
        <v>4.0</v>
      </c>
      <c r="B7" s="12" t="s">
        <v>27</v>
      </c>
      <c r="C7" s="13" t="s">
        <v>6</v>
      </c>
      <c r="D7" s="15" t="s">
        <v>30</v>
      </c>
    </row>
    <row r="8">
      <c r="A8" s="5">
        <v>5.0</v>
      </c>
      <c r="B8" s="12" t="s">
        <v>33</v>
      </c>
      <c r="C8" s="13" t="s">
        <v>6</v>
      </c>
      <c r="D8" s="15" t="s">
        <v>36</v>
      </c>
    </row>
    <row r="9">
      <c r="A9" s="5">
        <v>6.0</v>
      </c>
      <c r="B9" s="12" t="s">
        <v>38</v>
      </c>
      <c r="C9" s="13" t="s">
        <v>6</v>
      </c>
      <c r="D9" s="15" t="s">
        <v>42</v>
      </c>
    </row>
    <row r="10">
      <c r="A10" s="5">
        <v>7.0</v>
      </c>
      <c r="B10" s="12" t="s">
        <v>45</v>
      </c>
      <c r="C10" s="13" t="s">
        <v>6</v>
      </c>
      <c r="D10" s="15" t="s">
        <v>49</v>
      </c>
    </row>
    <row r="11">
      <c r="A11" s="5">
        <v>8.0</v>
      </c>
      <c r="B11" s="12" t="s">
        <v>52</v>
      </c>
      <c r="C11" s="13" t="s">
        <v>6</v>
      </c>
      <c r="D11" s="18" t="s">
        <v>55</v>
      </c>
    </row>
    <row r="12">
      <c r="A12" s="5">
        <v>9.0</v>
      </c>
      <c r="B12" s="12" t="s">
        <v>59</v>
      </c>
      <c r="C12" s="13" t="s">
        <v>6</v>
      </c>
      <c r="D12" s="18" t="s">
        <v>61</v>
      </c>
    </row>
    <row r="13">
      <c r="A13" s="5">
        <v>10.0</v>
      </c>
      <c r="B13" s="12" t="s">
        <v>62</v>
      </c>
      <c r="C13" s="13" t="s">
        <v>6</v>
      </c>
      <c r="D13" s="15" t="s">
        <v>64</v>
      </c>
    </row>
    <row r="14">
      <c r="A14" s="5">
        <v>11.0</v>
      </c>
      <c r="B14" s="12" t="s">
        <v>65</v>
      </c>
      <c r="C14" s="16" t="s">
        <v>66</v>
      </c>
      <c r="D14" s="15" t="s">
        <v>113</v>
      </c>
    </row>
    <row r="15">
      <c r="A15" s="5">
        <v>12.0</v>
      </c>
      <c r="B15" s="12" t="s">
        <v>114</v>
      </c>
      <c r="C15" s="13" t="s">
        <v>6</v>
      </c>
      <c r="D15" s="15" t="s">
        <v>115</v>
      </c>
    </row>
    <row r="16">
      <c r="A16" s="5">
        <v>13.0</v>
      </c>
      <c r="B16" s="12" t="s">
        <v>116</v>
      </c>
      <c r="C16" s="13" t="s">
        <v>6</v>
      </c>
      <c r="D16" s="15" t="s">
        <v>117</v>
      </c>
    </row>
    <row r="17">
      <c r="A17" s="5">
        <v>14.0</v>
      </c>
      <c r="B17" s="12" t="s">
        <v>118</v>
      </c>
      <c r="C17" s="13" t="s">
        <v>6</v>
      </c>
      <c r="D17" s="15" t="s">
        <v>119</v>
      </c>
    </row>
    <row r="18">
      <c r="A18" s="5">
        <v>15.0</v>
      </c>
      <c r="B18" s="12" t="s">
        <v>120</v>
      </c>
      <c r="C18" s="13" t="s">
        <v>6</v>
      </c>
      <c r="D18" s="15" t="s">
        <v>121</v>
      </c>
    </row>
    <row r="19">
      <c r="A19" s="5">
        <v>16.0</v>
      </c>
      <c r="B19" s="12" t="s">
        <v>122</v>
      </c>
      <c r="C19" s="13" t="s">
        <v>6</v>
      </c>
      <c r="D19" s="15" t="s">
        <v>123</v>
      </c>
    </row>
    <row r="20">
      <c r="A20" s="5">
        <v>17.0</v>
      </c>
      <c r="B20" s="12" t="s">
        <v>124</v>
      </c>
      <c r="C20" s="13" t="s">
        <v>6</v>
      </c>
      <c r="D20" s="15" t="s">
        <v>125</v>
      </c>
    </row>
    <row r="21">
      <c r="A21" s="5">
        <v>18.0</v>
      </c>
      <c r="B21" s="12" t="s">
        <v>126</v>
      </c>
      <c r="C21" s="13" t="s">
        <v>6</v>
      </c>
      <c r="D21" s="15" t="s">
        <v>127</v>
      </c>
    </row>
    <row r="22">
      <c r="A22" s="5">
        <v>19.0</v>
      </c>
      <c r="B22" s="12" t="s">
        <v>128</v>
      </c>
      <c r="C22" s="13" t="s">
        <v>6</v>
      </c>
      <c r="D22" s="15" t="s">
        <v>129</v>
      </c>
    </row>
    <row r="23">
      <c r="A23" s="5">
        <v>20.0</v>
      </c>
      <c r="B23" s="12" t="s">
        <v>130</v>
      </c>
      <c r="C23" s="16" t="s">
        <v>131</v>
      </c>
      <c r="D23" s="15" t="s">
        <v>132</v>
      </c>
    </row>
    <row r="24">
      <c r="A24" s="5">
        <v>21.0</v>
      </c>
      <c r="B24" s="12" t="s">
        <v>133</v>
      </c>
      <c r="C24" s="16" t="s">
        <v>134</v>
      </c>
      <c r="D24" s="15" t="s">
        <v>135</v>
      </c>
    </row>
    <row r="25">
      <c r="A25" s="5">
        <v>23.0</v>
      </c>
      <c r="B25" s="12" t="s">
        <v>136</v>
      </c>
      <c r="C25" s="13" t="s">
        <v>6</v>
      </c>
      <c r="D25" s="15" t="s">
        <v>137</v>
      </c>
    </row>
    <row r="26">
      <c r="A26" s="5">
        <v>24.0</v>
      </c>
      <c r="B26" s="12" t="s">
        <v>138</v>
      </c>
      <c r="C26" s="13" t="s">
        <v>6</v>
      </c>
      <c r="D26" s="15" t="s">
        <v>139</v>
      </c>
    </row>
    <row r="27">
      <c r="A27" s="5">
        <v>25.0</v>
      </c>
      <c r="B27" s="12" t="s">
        <v>140</v>
      </c>
      <c r="C27" s="16" t="s">
        <v>141</v>
      </c>
      <c r="D27" s="15" t="s">
        <v>142</v>
      </c>
    </row>
    <row r="28">
      <c r="A28" s="5">
        <v>26.0</v>
      </c>
      <c r="B28" s="12" t="s">
        <v>143</v>
      </c>
      <c r="C28" s="13" t="s">
        <v>6</v>
      </c>
      <c r="D28" s="15" t="s">
        <v>144</v>
      </c>
    </row>
    <row r="29">
      <c r="A29" s="5"/>
      <c r="B29" s="19" t="s">
        <v>145</v>
      </c>
      <c r="C29" s="20"/>
      <c r="D29" s="18" t="s">
        <v>6</v>
      </c>
    </row>
    <row r="30">
      <c r="A30" s="5">
        <v>27.0</v>
      </c>
      <c r="B30" s="12" t="s">
        <v>146</v>
      </c>
      <c r="C30" s="13" t="s">
        <v>6</v>
      </c>
      <c r="D30" s="15" t="s">
        <v>147</v>
      </c>
    </row>
    <row r="31">
      <c r="A31" s="5">
        <v>28.0</v>
      </c>
      <c r="B31" s="12" t="s">
        <v>148</v>
      </c>
      <c r="C31" s="13" t="s">
        <v>6</v>
      </c>
      <c r="D31" s="15" t="s">
        <v>149</v>
      </c>
    </row>
    <row r="32">
      <c r="A32" s="5">
        <v>29.0</v>
      </c>
      <c r="B32" s="12" t="s">
        <v>150</v>
      </c>
      <c r="C32" s="13" t="s">
        <v>6</v>
      </c>
      <c r="D32" s="15" t="s">
        <v>151</v>
      </c>
    </row>
    <row r="33">
      <c r="A33" s="5">
        <v>30.0</v>
      </c>
      <c r="B33" s="12" t="s">
        <v>152</v>
      </c>
      <c r="C33" s="13" t="s">
        <v>6</v>
      </c>
      <c r="D33" s="15" t="s">
        <v>153</v>
      </c>
    </row>
    <row r="34">
      <c r="A34" s="5">
        <v>31.0</v>
      </c>
      <c r="B34" s="12" t="s">
        <v>154</v>
      </c>
      <c r="C34" s="13" t="s">
        <v>6</v>
      </c>
      <c r="D34" s="15" t="s">
        <v>155</v>
      </c>
    </row>
    <row r="35">
      <c r="A35" s="5">
        <v>32.0</v>
      </c>
      <c r="B35" s="12" t="s">
        <v>156</v>
      </c>
      <c r="C35" s="13" t="s">
        <v>6</v>
      </c>
      <c r="D35" s="15" t="s">
        <v>157</v>
      </c>
    </row>
    <row r="36">
      <c r="A36" s="5">
        <v>33.0</v>
      </c>
      <c r="B36" s="12" t="s">
        <v>158</v>
      </c>
      <c r="C36" s="13" t="s">
        <v>6</v>
      </c>
      <c r="D36" s="15" t="s">
        <v>159</v>
      </c>
    </row>
    <row r="37">
      <c r="A37" s="5">
        <v>34.0</v>
      </c>
      <c r="B37" s="12" t="s">
        <v>160</v>
      </c>
      <c r="C37" s="13" t="s">
        <v>6</v>
      </c>
      <c r="D37" s="15" t="s">
        <v>161</v>
      </c>
    </row>
    <row r="38">
      <c r="A38" s="5">
        <v>35.0</v>
      </c>
      <c r="B38" s="12" t="s">
        <v>162</v>
      </c>
      <c r="C38" s="13" t="s">
        <v>6</v>
      </c>
      <c r="D38" s="15" t="s">
        <v>163</v>
      </c>
    </row>
    <row r="39">
      <c r="A39" s="5">
        <v>36.0</v>
      </c>
      <c r="B39" s="12" t="s">
        <v>164</v>
      </c>
      <c r="C39" s="13" t="s">
        <v>6</v>
      </c>
      <c r="D39" s="15" t="s">
        <v>165</v>
      </c>
    </row>
    <row r="40">
      <c r="A40" s="5">
        <v>37.0</v>
      </c>
      <c r="B40" s="12" t="s">
        <v>166</v>
      </c>
      <c r="C40" s="13" t="s">
        <v>6</v>
      </c>
      <c r="D40" s="15" t="s">
        <v>167</v>
      </c>
    </row>
    <row r="41">
      <c r="A41" s="5">
        <v>38.0</v>
      </c>
      <c r="B41" s="12" t="s">
        <v>168</v>
      </c>
      <c r="C41" s="13" t="s">
        <v>6</v>
      </c>
      <c r="D41" s="15" t="s">
        <v>169</v>
      </c>
    </row>
    <row r="42">
      <c r="A42" s="5">
        <v>39.0</v>
      </c>
      <c r="B42" s="12" t="s">
        <v>170</v>
      </c>
      <c r="C42" s="13" t="s">
        <v>6</v>
      </c>
      <c r="D42" s="15" t="s">
        <v>171</v>
      </c>
    </row>
    <row r="43">
      <c r="A43" s="5">
        <v>40.0</v>
      </c>
      <c r="B43" s="12" t="s">
        <v>172</v>
      </c>
      <c r="C43" s="13" t="s">
        <v>6</v>
      </c>
      <c r="D43" s="15" t="s">
        <v>173</v>
      </c>
    </row>
    <row r="44">
      <c r="A44" s="5">
        <v>41.0</v>
      </c>
      <c r="B44" s="12" t="s">
        <v>174</v>
      </c>
      <c r="C44" s="13" t="s">
        <v>6</v>
      </c>
      <c r="D44" s="15" t="s">
        <v>175</v>
      </c>
    </row>
    <row r="45">
      <c r="A45" s="5">
        <v>42.0</v>
      </c>
      <c r="B45" s="12" t="s">
        <v>176</v>
      </c>
      <c r="C45" s="13" t="s">
        <v>6</v>
      </c>
      <c r="D45" s="15" t="s">
        <v>177</v>
      </c>
    </row>
    <row r="46">
      <c r="A46" s="5">
        <v>43.0</v>
      </c>
      <c r="B46" s="12" t="s">
        <v>178</v>
      </c>
      <c r="C46" s="13" t="s">
        <v>6</v>
      </c>
      <c r="D46" s="15" t="s">
        <v>179</v>
      </c>
    </row>
    <row r="47">
      <c r="A47" s="5">
        <v>44.0</v>
      </c>
      <c r="B47" s="12" t="s">
        <v>180</v>
      </c>
      <c r="C47" s="13" t="s">
        <v>6</v>
      </c>
      <c r="D47" s="15" t="s">
        <v>181</v>
      </c>
    </row>
    <row r="48">
      <c r="A48" s="5">
        <v>45.0</v>
      </c>
      <c r="B48" s="12" t="s">
        <v>182</v>
      </c>
      <c r="C48" s="13" t="s">
        <v>6</v>
      </c>
      <c r="D48" s="15" t="s">
        <v>183</v>
      </c>
    </row>
    <row r="49">
      <c r="A49" s="5">
        <v>46.0</v>
      </c>
      <c r="B49" s="12" t="s">
        <v>184</v>
      </c>
      <c r="C49" s="13" t="s">
        <v>6</v>
      </c>
      <c r="D49" s="15" t="s">
        <v>185</v>
      </c>
    </row>
    <row r="50">
      <c r="A50" s="5">
        <v>47.0</v>
      </c>
      <c r="B50" s="12" t="s">
        <v>186</v>
      </c>
      <c r="C50" s="13" t="s">
        <v>6</v>
      </c>
      <c r="D50" s="15" t="s">
        <v>187</v>
      </c>
    </row>
    <row r="51">
      <c r="A51" s="5">
        <v>48.0</v>
      </c>
      <c r="B51" s="12" t="s">
        <v>188</v>
      </c>
      <c r="C51" s="13" t="s">
        <v>6</v>
      </c>
      <c r="D51" s="15" t="s">
        <v>189</v>
      </c>
    </row>
    <row r="52">
      <c r="A52" s="5">
        <v>49.0</v>
      </c>
      <c r="B52" s="12" t="s">
        <v>190</v>
      </c>
      <c r="C52" s="13" t="s">
        <v>6</v>
      </c>
      <c r="D52" s="15" t="s">
        <v>191</v>
      </c>
    </row>
    <row r="53">
      <c r="A53" s="5">
        <v>50.0</v>
      </c>
      <c r="B53" s="12" t="s">
        <v>192</v>
      </c>
      <c r="C53" s="13" t="s">
        <v>6</v>
      </c>
      <c r="D53" s="15" t="s">
        <v>193</v>
      </c>
    </row>
    <row r="54">
      <c r="A54" s="5">
        <v>51.0</v>
      </c>
      <c r="B54" s="12" t="s">
        <v>194</v>
      </c>
      <c r="C54" s="13" t="s">
        <v>6</v>
      </c>
      <c r="D54" s="15" t="s">
        <v>195</v>
      </c>
    </row>
    <row r="55">
      <c r="A55" s="5">
        <v>52.0</v>
      </c>
      <c r="B55" s="12" t="s">
        <v>196</v>
      </c>
      <c r="C55" s="13" t="s">
        <v>6</v>
      </c>
      <c r="D55" s="15" t="s">
        <v>197</v>
      </c>
    </row>
    <row r="56">
      <c r="A56" s="5">
        <v>53.0</v>
      </c>
      <c r="B56" s="12" t="s">
        <v>198</v>
      </c>
      <c r="C56" s="13" t="s">
        <v>6</v>
      </c>
      <c r="D56" s="15" t="s">
        <v>199</v>
      </c>
    </row>
    <row r="57">
      <c r="A57" s="5">
        <v>54.0</v>
      </c>
      <c r="B57" s="12" t="s">
        <v>200</v>
      </c>
      <c r="C57" s="13" t="s">
        <v>6</v>
      </c>
      <c r="D57" s="15" t="s">
        <v>201</v>
      </c>
    </row>
    <row r="58">
      <c r="A58" s="5">
        <v>55.0</v>
      </c>
      <c r="B58" s="12" t="s">
        <v>202</v>
      </c>
      <c r="C58" s="13" t="s">
        <v>6</v>
      </c>
      <c r="D58" s="15" t="s">
        <v>203</v>
      </c>
    </row>
    <row r="59">
      <c r="A59" s="5">
        <v>56.0</v>
      </c>
      <c r="B59" s="12" t="s">
        <v>204</v>
      </c>
      <c r="C59" s="13" t="s">
        <v>6</v>
      </c>
      <c r="D59" s="15" t="s">
        <v>205</v>
      </c>
    </row>
    <row r="60">
      <c r="A60" s="5">
        <v>57.0</v>
      </c>
      <c r="B60" s="12" t="s">
        <v>206</v>
      </c>
      <c r="C60" s="13" t="s">
        <v>6</v>
      </c>
      <c r="D60" s="15" t="s">
        <v>207</v>
      </c>
    </row>
    <row r="61">
      <c r="A61" s="5">
        <v>58.0</v>
      </c>
      <c r="B61" s="12" t="s">
        <v>208</v>
      </c>
      <c r="C61" s="13" t="s">
        <v>6</v>
      </c>
      <c r="D61" s="15" t="s">
        <v>209</v>
      </c>
    </row>
    <row r="62">
      <c r="A62" s="5">
        <v>59.0</v>
      </c>
      <c r="B62" s="12" t="s">
        <v>210</v>
      </c>
      <c r="C62" s="13" t="s">
        <v>6</v>
      </c>
      <c r="D62" s="15" t="s">
        <v>211</v>
      </c>
    </row>
    <row r="63">
      <c r="A63" s="5">
        <v>60.0</v>
      </c>
      <c r="B63" s="12" t="s">
        <v>212</v>
      </c>
      <c r="C63" s="13" t="s">
        <v>6</v>
      </c>
      <c r="D63" s="15" t="s">
        <v>213</v>
      </c>
    </row>
    <row r="64">
      <c r="A64" s="5">
        <v>61.0</v>
      </c>
      <c r="B64" s="12" t="s">
        <v>214</v>
      </c>
      <c r="C64" s="13" t="s">
        <v>6</v>
      </c>
      <c r="D64" s="15" t="s">
        <v>215</v>
      </c>
    </row>
    <row r="65">
      <c r="A65" s="5">
        <v>62.0</v>
      </c>
      <c r="B65" s="12" t="s">
        <v>216</v>
      </c>
      <c r="C65" s="13" t="s">
        <v>6</v>
      </c>
      <c r="D65" s="15" t="s">
        <v>217</v>
      </c>
    </row>
    <row r="66">
      <c r="A66" s="5">
        <v>63.0</v>
      </c>
      <c r="B66" s="12" t="s">
        <v>218</v>
      </c>
      <c r="C66" s="13" t="s">
        <v>6</v>
      </c>
      <c r="D66" s="15" t="s">
        <v>219</v>
      </c>
    </row>
    <row r="67">
      <c r="A67" s="5">
        <v>64.0</v>
      </c>
      <c r="B67" s="12" t="s">
        <v>220</v>
      </c>
      <c r="C67" s="13" t="s">
        <v>6</v>
      </c>
      <c r="D67" s="15" t="s">
        <v>221</v>
      </c>
    </row>
    <row r="68">
      <c r="A68" s="5">
        <v>65.0</v>
      </c>
      <c r="B68" s="12" t="s">
        <v>222</v>
      </c>
      <c r="C68" s="13" t="s">
        <v>6</v>
      </c>
      <c r="D68" s="15" t="s">
        <v>223</v>
      </c>
    </row>
    <row r="69">
      <c r="A69" s="5">
        <v>66.0</v>
      </c>
      <c r="B69" s="12" t="s">
        <v>224</v>
      </c>
      <c r="C69" s="13" t="s">
        <v>6</v>
      </c>
      <c r="D69" s="15" t="s">
        <v>225</v>
      </c>
    </row>
    <row r="70">
      <c r="A70" s="5">
        <v>67.0</v>
      </c>
      <c r="B70" s="12" t="s">
        <v>226</v>
      </c>
      <c r="C70" s="13" t="s">
        <v>6</v>
      </c>
      <c r="D70" s="15" t="s">
        <v>227</v>
      </c>
    </row>
    <row r="71">
      <c r="A71" s="5">
        <v>68.0</v>
      </c>
      <c r="B71" s="12" t="s">
        <v>228</v>
      </c>
      <c r="C71" s="13" t="s">
        <v>6</v>
      </c>
      <c r="D71" s="15" t="s">
        <v>229</v>
      </c>
    </row>
    <row r="72">
      <c r="A72" s="5">
        <v>69.0</v>
      </c>
      <c r="B72" s="12" t="s">
        <v>230</v>
      </c>
      <c r="C72" s="13" t="s">
        <v>6</v>
      </c>
      <c r="D72" s="15" t="s">
        <v>231</v>
      </c>
    </row>
    <row r="73">
      <c r="A73" s="5">
        <v>70.0</v>
      </c>
      <c r="B73" s="12" t="s">
        <v>232</v>
      </c>
      <c r="C73" s="13" t="s">
        <v>6</v>
      </c>
      <c r="D73" s="15" t="s">
        <v>233</v>
      </c>
    </row>
    <row r="74">
      <c r="A74" s="5">
        <v>71.0</v>
      </c>
      <c r="B74" s="12" t="s">
        <v>234</v>
      </c>
      <c r="C74" s="13" t="s">
        <v>6</v>
      </c>
      <c r="D74" s="15" t="s">
        <v>235</v>
      </c>
    </row>
    <row r="75">
      <c r="A75" s="5">
        <v>72.0</v>
      </c>
      <c r="B75" s="12" t="s">
        <v>236</v>
      </c>
      <c r="C75" s="13" t="s">
        <v>6</v>
      </c>
      <c r="D75" s="15" t="s">
        <v>237</v>
      </c>
    </row>
    <row r="76">
      <c r="A76" s="5">
        <v>73.0</v>
      </c>
      <c r="B76" s="12" t="s">
        <v>238</v>
      </c>
      <c r="C76" s="13" t="s">
        <v>6</v>
      </c>
      <c r="D76" s="15" t="s">
        <v>239</v>
      </c>
    </row>
    <row r="77">
      <c r="A77" s="5">
        <v>74.0</v>
      </c>
      <c r="B77" s="12" t="s">
        <v>240</v>
      </c>
      <c r="C77" s="13" t="s">
        <v>6</v>
      </c>
      <c r="D77" s="15" t="s">
        <v>241</v>
      </c>
    </row>
    <row r="78">
      <c r="A78" s="5">
        <v>75.0</v>
      </c>
      <c r="B78" s="12" t="s">
        <v>242</v>
      </c>
      <c r="C78" s="13" t="s">
        <v>6</v>
      </c>
      <c r="D78" s="15" t="s">
        <v>243</v>
      </c>
    </row>
    <row r="79">
      <c r="A79" s="5">
        <v>76.0</v>
      </c>
      <c r="B79" s="12" t="s">
        <v>244</v>
      </c>
      <c r="C79" s="13" t="s">
        <v>6</v>
      </c>
      <c r="D79" s="15" t="s">
        <v>245</v>
      </c>
    </row>
    <row r="80">
      <c r="A80" s="5"/>
      <c r="B80" s="19" t="s">
        <v>246</v>
      </c>
      <c r="C80" s="20"/>
      <c r="D80" s="20"/>
    </row>
    <row r="81">
      <c r="A81" s="5">
        <v>77.0</v>
      </c>
      <c r="B81" s="12" t="s">
        <v>247</v>
      </c>
      <c r="C81" s="13" t="s">
        <v>6</v>
      </c>
      <c r="D81" s="15" t="s">
        <v>248</v>
      </c>
    </row>
    <row r="82">
      <c r="A82" s="5">
        <v>78.0</v>
      </c>
      <c r="B82" s="12" t="s">
        <v>249</v>
      </c>
      <c r="C82" s="13" t="s">
        <v>6</v>
      </c>
      <c r="D82" s="15" t="s">
        <v>250</v>
      </c>
    </row>
    <row r="83">
      <c r="A83" s="5">
        <v>79.0</v>
      </c>
      <c r="B83" s="12" t="s">
        <v>251</v>
      </c>
      <c r="C83" s="13" t="s">
        <v>6</v>
      </c>
      <c r="D83" s="15" t="s">
        <v>252</v>
      </c>
    </row>
    <row r="84">
      <c r="A84" s="5">
        <v>80.0</v>
      </c>
      <c r="B84" s="12" t="s">
        <v>253</v>
      </c>
      <c r="C84" s="13" t="s">
        <v>6</v>
      </c>
      <c r="D84" s="15" t="s">
        <v>254</v>
      </c>
    </row>
    <row r="85">
      <c r="A85" s="5">
        <v>81.0</v>
      </c>
      <c r="B85" s="12" t="s">
        <v>255</v>
      </c>
      <c r="C85" s="13" t="s">
        <v>6</v>
      </c>
      <c r="D85" s="15" t="s">
        <v>256</v>
      </c>
    </row>
    <row r="86">
      <c r="A86" s="5">
        <v>82.0</v>
      </c>
      <c r="B86" s="12" t="s">
        <v>257</v>
      </c>
      <c r="C86" s="13" t="s">
        <v>6</v>
      </c>
      <c r="D86" s="15" t="s">
        <v>258</v>
      </c>
    </row>
    <row r="87">
      <c r="A87" s="5">
        <v>83.0</v>
      </c>
      <c r="B87" s="12" t="s">
        <v>259</v>
      </c>
      <c r="C87" s="13" t="s">
        <v>6</v>
      </c>
      <c r="D87" s="15" t="s">
        <v>260</v>
      </c>
    </row>
    <row r="88">
      <c r="A88" s="5">
        <v>84.0</v>
      </c>
      <c r="B88" s="12" t="s">
        <v>261</v>
      </c>
      <c r="C88" s="13" t="s">
        <v>6</v>
      </c>
      <c r="D88" s="15" t="s">
        <v>262</v>
      </c>
    </row>
    <row r="89">
      <c r="A89" s="5">
        <v>85.0</v>
      </c>
      <c r="B89" s="12" t="s">
        <v>263</v>
      </c>
      <c r="C89" s="13" t="s">
        <v>6</v>
      </c>
      <c r="D89" s="15" t="s">
        <v>264</v>
      </c>
    </row>
    <row r="90">
      <c r="A90" s="5">
        <v>86.0</v>
      </c>
      <c r="B90" s="12" t="s">
        <v>265</v>
      </c>
      <c r="C90" s="13" t="s">
        <v>6</v>
      </c>
      <c r="D90" s="15" t="s">
        <v>266</v>
      </c>
    </row>
    <row r="91">
      <c r="A91" s="5">
        <v>87.0</v>
      </c>
      <c r="B91" s="12" t="s">
        <v>267</v>
      </c>
      <c r="C91" s="13" t="s">
        <v>6</v>
      </c>
      <c r="D91" s="15" t="s">
        <v>268</v>
      </c>
    </row>
    <row r="92">
      <c r="A92" s="5">
        <v>88.0</v>
      </c>
      <c r="B92" s="12" t="s">
        <v>269</v>
      </c>
      <c r="C92" s="13" t="s">
        <v>6</v>
      </c>
      <c r="D92" s="15" t="s">
        <v>270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
    <col customWidth="1" min="2" max="2" width="19.38"/>
    <col customWidth="1" min="3" max="3" width="13.38"/>
    <col customWidth="1" min="4" max="4" width="100.13"/>
  </cols>
  <sheetData>
    <row r="1">
      <c r="A1" s="1" t="s">
        <v>0</v>
      </c>
      <c r="B1" s="3" t="s">
        <v>1</v>
      </c>
      <c r="C1" s="3" t="s">
        <v>3</v>
      </c>
      <c r="D1" s="3" t="s">
        <v>4</v>
      </c>
    </row>
    <row r="2">
      <c r="A2" s="5">
        <v>0.0</v>
      </c>
      <c r="B2" s="6" t="s">
        <v>5</v>
      </c>
      <c r="C2" s="7" t="s">
        <v>6</v>
      </c>
      <c r="D2" s="9" t="s">
        <v>6</v>
      </c>
    </row>
    <row r="3">
      <c r="A3" s="5"/>
      <c r="B3" s="10" t="s">
        <v>7</v>
      </c>
      <c r="C3" s="7"/>
      <c r="D3" s="9" t="s">
        <v>6</v>
      </c>
    </row>
    <row r="4">
      <c r="A4" s="5">
        <v>1.0</v>
      </c>
      <c r="B4" s="11" t="s">
        <v>9</v>
      </c>
      <c r="C4" s="13" t="s">
        <v>6</v>
      </c>
      <c r="D4" s="14" t="s">
        <v>11</v>
      </c>
    </row>
    <row r="5">
      <c r="A5" s="5">
        <v>2.0</v>
      </c>
      <c r="B5" s="11" t="s">
        <v>12</v>
      </c>
      <c r="C5" s="13" t="s">
        <v>6</v>
      </c>
      <c r="D5" s="14" t="s">
        <v>14</v>
      </c>
    </row>
    <row r="6">
      <c r="A6" s="5">
        <v>3.0</v>
      </c>
      <c r="B6" s="11" t="s">
        <v>15</v>
      </c>
      <c r="C6" s="16" t="s">
        <v>16</v>
      </c>
      <c r="D6" s="14" t="s">
        <v>18</v>
      </c>
    </row>
    <row r="7">
      <c r="A7" s="5">
        <v>4.0</v>
      </c>
      <c r="B7" s="11" t="s">
        <v>20</v>
      </c>
      <c r="C7" s="16" t="s">
        <v>21</v>
      </c>
      <c r="D7" s="14" t="s">
        <v>23</v>
      </c>
    </row>
    <row r="8">
      <c r="A8" s="5">
        <v>5.0</v>
      </c>
      <c r="B8" s="11" t="s">
        <v>24</v>
      </c>
      <c r="C8" s="13" t="s">
        <v>6</v>
      </c>
      <c r="D8" s="14" t="s">
        <v>26</v>
      </c>
    </row>
    <row r="9">
      <c r="A9" s="5">
        <v>6.0</v>
      </c>
      <c r="B9" s="11" t="s">
        <v>28</v>
      </c>
      <c r="C9" s="13" t="s">
        <v>6</v>
      </c>
      <c r="D9" s="14" t="s">
        <v>29</v>
      </c>
    </row>
    <row r="10">
      <c r="A10" s="5">
        <v>7.0</v>
      </c>
      <c r="B10" s="11" t="s">
        <v>31</v>
      </c>
      <c r="C10" s="13" t="s">
        <v>6</v>
      </c>
      <c r="D10" s="14" t="s">
        <v>32</v>
      </c>
    </row>
    <row r="11">
      <c r="A11" s="5">
        <v>8.0</v>
      </c>
      <c r="B11" s="11" t="s">
        <v>34</v>
      </c>
      <c r="C11" s="13" t="s">
        <v>6</v>
      </c>
      <c r="D11" s="14" t="s">
        <v>35</v>
      </c>
    </row>
    <row r="12">
      <c r="A12" s="5">
        <v>9.0</v>
      </c>
      <c r="B12" s="11" t="s">
        <v>37</v>
      </c>
      <c r="C12" s="13" t="s">
        <v>6</v>
      </c>
      <c r="D12" s="14" t="s">
        <v>39</v>
      </c>
    </row>
    <row r="13">
      <c r="A13" s="5">
        <v>10.0</v>
      </c>
      <c r="B13" s="11" t="s">
        <v>40</v>
      </c>
      <c r="C13" s="16" t="s">
        <v>41</v>
      </c>
      <c r="D13" s="14" t="s">
        <v>43</v>
      </c>
    </row>
    <row r="14">
      <c r="A14" s="5">
        <v>11.0</v>
      </c>
      <c r="B14" s="11" t="s">
        <v>44</v>
      </c>
      <c r="C14" s="16" t="s">
        <v>41</v>
      </c>
      <c r="D14" s="14" t="s">
        <v>46</v>
      </c>
    </row>
    <row r="15">
      <c r="A15" s="5">
        <v>12.0</v>
      </c>
      <c r="B15" s="11" t="s">
        <v>47</v>
      </c>
      <c r="C15" s="16" t="s">
        <v>48</v>
      </c>
      <c r="D15" s="14" t="s">
        <v>50</v>
      </c>
    </row>
    <row r="16">
      <c r="A16" s="5">
        <v>13.0</v>
      </c>
      <c r="B16" s="11" t="s">
        <v>51</v>
      </c>
      <c r="C16" s="13" t="s">
        <v>6</v>
      </c>
      <c r="D16" s="14" t="s">
        <v>53</v>
      </c>
    </row>
    <row r="17">
      <c r="A17" s="5">
        <v>14.0</v>
      </c>
      <c r="B17" s="11" t="s">
        <v>54</v>
      </c>
      <c r="C17" s="17" t="s">
        <v>56</v>
      </c>
      <c r="D17" s="14" t="s">
        <v>57</v>
      </c>
    </row>
    <row r="18">
      <c r="A18" s="5">
        <v>15.0</v>
      </c>
      <c r="B18" s="11" t="s">
        <v>58</v>
      </c>
      <c r="C18" s="17" t="s">
        <v>56</v>
      </c>
      <c r="D18" s="14" t="s">
        <v>60</v>
      </c>
    </row>
    <row r="19">
      <c r="A19" s="5"/>
      <c r="B19" s="19" t="s">
        <v>63</v>
      </c>
      <c r="C19" s="20"/>
      <c r="D19" s="21" t="s">
        <v>6</v>
      </c>
    </row>
    <row r="20">
      <c r="A20" s="5">
        <v>16.0</v>
      </c>
      <c r="B20" s="11" t="s">
        <v>67</v>
      </c>
      <c r="C20" s="13" t="s">
        <v>6</v>
      </c>
      <c r="D20" s="14" t="s">
        <v>68</v>
      </c>
    </row>
    <row r="21">
      <c r="A21" s="5">
        <v>17.0</v>
      </c>
      <c r="B21" s="11" t="s">
        <v>69</v>
      </c>
      <c r="C21" s="13" t="s">
        <v>6</v>
      </c>
      <c r="D21" s="14" t="s">
        <v>70</v>
      </c>
    </row>
    <row r="22">
      <c r="A22" s="5">
        <v>18.0</v>
      </c>
      <c r="B22" s="11" t="s">
        <v>71</v>
      </c>
      <c r="C22" s="13" t="s">
        <v>6</v>
      </c>
      <c r="D22" s="14" t="s">
        <v>72</v>
      </c>
    </row>
    <row r="23">
      <c r="A23" s="5">
        <v>19.0</v>
      </c>
      <c r="B23" s="11" t="s">
        <v>73</v>
      </c>
      <c r="C23" s="22" t="s">
        <v>74</v>
      </c>
      <c r="D23" s="14" t="s">
        <v>75</v>
      </c>
    </row>
    <row r="24">
      <c r="A24" s="5">
        <v>20.0</v>
      </c>
      <c r="B24" s="11" t="s">
        <v>76</v>
      </c>
      <c r="C24" s="16" t="s">
        <v>77</v>
      </c>
      <c r="D24" s="14" t="s">
        <v>78</v>
      </c>
    </row>
    <row r="25">
      <c r="A25" s="5">
        <v>21.0</v>
      </c>
      <c r="B25" s="11" t="s">
        <v>79</v>
      </c>
      <c r="C25" s="13" t="s">
        <v>6</v>
      </c>
      <c r="D25" s="14" t="s">
        <v>80</v>
      </c>
    </row>
    <row r="26">
      <c r="A26" s="5">
        <v>22.0</v>
      </c>
      <c r="B26" s="11" t="s">
        <v>81</v>
      </c>
      <c r="C26" s="16" t="s">
        <v>82</v>
      </c>
      <c r="D26" s="14" t="s">
        <v>83</v>
      </c>
    </row>
    <row r="27">
      <c r="A27" s="5">
        <v>23.0</v>
      </c>
      <c r="B27" s="11" t="s">
        <v>84</v>
      </c>
      <c r="C27" s="16" t="s">
        <v>85</v>
      </c>
      <c r="D27" s="14" t="s">
        <v>86</v>
      </c>
    </row>
    <row r="28">
      <c r="A28" s="5">
        <v>24.0</v>
      </c>
      <c r="B28" s="11" t="s">
        <v>87</v>
      </c>
      <c r="C28" s="16" t="s">
        <v>88</v>
      </c>
      <c r="D28" s="14" t="s">
        <v>89</v>
      </c>
    </row>
    <row r="29">
      <c r="A29" s="5"/>
      <c r="B29" s="19" t="s">
        <v>90</v>
      </c>
      <c r="C29" s="20"/>
      <c r="D29" s="21" t="s">
        <v>6</v>
      </c>
    </row>
    <row r="30">
      <c r="A30" s="5">
        <v>25.0</v>
      </c>
      <c r="B30" s="11" t="s">
        <v>91</v>
      </c>
      <c r="C30" s="13" t="s">
        <v>6</v>
      </c>
      <c r="D30" s="14" t="s">
        <v>92</v>
      </c>
    </row>
    <row r="31">
      <c r="A31" s="5">
        <v>26.0</v>
      </c>
      <c r="B31" s="11" t="s">
        <v>93</v>
      </c>
      <c r="C31" s="13" t="s">
        <v>6</v>
      </c>
      <c r="D31" s="14" t="s">
        <v>94</v>
      </c>
    </row>
    <row r="32">
      <c r="A32" s="5">
        <v>27.0</v>
      </c>
      <c r="B32" s="11" t="s">
        <v>95</v>
      </c>
      <c r="C32" s="13" t="s">
        <v>6</v>
      </c>
      <c r="D32" s="14" t="s">
        <v>96</v>
      </c>
    </row>
    <row r="33">
      <c r="A33" s="5">
        <v>28.0</v>
      </c>
      <c r="B33" s="11" t="s">
        <v>97</v>
      </c>
      <c r="C33" s="13" t="s">
        <v>98</v>
      </c>
      <c r="D33" s="14" t="s">
        <v>99</v>
      </c>
    </row>
    <row r="34">
      <c r="A34" s="5">
        <v>29.0</v>
      </c>
      <c r="B34" s="11" t="s">
        <v>100</v>
      </c>
      <c r="C34" s="13" t="s">
        <v>6</v>
      </c>
      <c r="D34" s="14" t="s">
        <v>101</v>
      </c>
    </row>
    <row r="35">
      <c r="A35" s="5">
        <v>30.0</v>
      </c>
      <c r="B35" s="11" t="s">
        <v>102</v>
      </c>
      <c r="C35" s="13" t="s">
        <v>6</v>
      </c>
      <c r="D35" s="14" t="s">
        <v>103</v>
      </c>
    </row>
    <row r="36">
      <c r="A36" s="5">
        <v>31.0</v>
      </c>
      <c r="B36" s="11" t="s">
        <v>104</v>
      </c>
      <c r="C36" s="13" t="s">
        <v>6</v>
      </c>
      <c r="D36" s="14" t="s">
        <v>105</v>
      </c>
    </row>
    <row r="37">
      <c r="A37" s="5">
        <v>32.0</v>
      </c>
      <c r="B37" s="11" t="s">
        <v>106</v>
      </c>
      <c r="C37" s="13" t="s">
        <v>6</v>
      </c>
      <c r="D37" s="14" t="s">
        <v>107</v>
      </c>
    </row>
    <row r="38">
      <c r="A38" s="5">
        <v>33.0</v>
      </c>
      <c r="B38" s="11" t="s">
        <v>108</v>
      </c>
      <c r="C38" s="16" t="s">
        <v>109</v>
      </c>
      <c r="D38" s="14" t="s">
        <v>110</v>
      </c>
    </row>
    <row r="39">
      <c r="A39" s="5">
        <v>34.0</v>
      </c>
      <c r="B39" s="11" t="s">
        <v>111</v>
      </c>
      <c r="C39" s="13" t="s">
        <v>6</v>
      </c>
      <c r="D39" s="14" t="s">
        <v>112</v>
      </c>
    </row>
  </sheetData>
  <drawing r:id="rId1"/>
</worksheet>
</file>